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impleRetainingWallDesign" sheetId="1" r:id="rId1"/>
    <sheet name="RetainingWallOpt" sheetId="3" r:id="rId2"/>
    <sheet name="Suppl. RetainingWallCal." sheetId="2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I9" i="3" l="1"/>
  <c r="B18" i="3"/>
  <c r="B17" i="3"/>
  <c r="B16" i="3"/>
  <c r="B15" i="3"/>
  <c r="B14" i="3"/>
  <c r="B13" i="3"/>
  <c r="B12" i="3"/>
  <c r="B11" i="3"/>
  <c r="C60" i="3"/>
  <c r="C48" i="3"/>
  <c r="F17" i="3"/>
  <c r="B21" i="3" s="1"/>
  <c r="F15" i="3"/>
  <c r="C47" i="3" s="1"/>
  <c r="E47" i="3" s="1"/>
  <c r="F12" i="3"/>
  <c r="B24" i="3" s="1"/>
  <c r="B28" i="3" l="1"/>
  <c r="B30" i="3"/>
  <c r="C29" i="3"/>
  <c r="D32" i="3"/>
  <c r="B32" i="3"/>
  <c r="D29" i="3"/>
  <c r="C28" i="3"/>
  <c r="B31" i="3"/>
  <c r="B22" i="3"/>
  <c r="J12" i="3" s="1"/>
  <c r="C31" i="3"/>
  <c r="C30" i="3"/>
  <c r="D33" i="3"/>
  <c r="D30" i="3"/>
  <c r="D28" i="3"/>
  <c r="D31" i="3"/>
  <c r="F43" i="3"/>
  <c r="B29" i="3"/>
  <c r="C32" i="3"/>
  <c r="C63" i="2"/>
  <c r="G61" i="2"/>
  <c r="E61" i="2"/>
  <c r="D61" i="2"/>
  <c r="C61" i="2"/>
  <c r="C59" i="2"/>
  <c r="E58" i="2"/>
  <c r="E57" i="2"/>
  <c r="C57" i="2"/>
  <c r="C54" i="2"/>
  <c r="C53" i="2"/>
  <c r="F5" i="2"/>
  <c r="C37" i="2" s="1"/>
  <c r="E37" i="2" s="1"/>
  <c r="C51" i="2"/>
  <c r="C50" i="2"/>
  <c r="B8" i="2"/>
  <c r="C38" i="2"/>
  <c r="D23" i="2"/>
  <c r="C22" i="2"/>
  <c r="B22" i="2"/>
  <c r="C19" i="2"/>
  <c r="B14" i="2"/>
  <c r="F2" i="2"/>
  <c r="F7" i="2"/>
  <c r="B11" i="2" s="1"/>
  <c r="B6" i="2"/>
  <c r="C18" i="2" s="1"/>
  <c r="B5" i="2"/>
  <c r="B19" i="2" s="1"/>
  <c r="B4" i="2"/>
  <c r="B3" i="2"/>
  <c r="B2" i="2"/>
  <c r="D20" i="2" s="1"/>
  <c r="E32" i="3" l="1"/>
  <c r="J2" i="3"/>
  <c r="E29" i="3"/>
  <c r="E28" i="3"/>
  <c r="J13" i="3"/>
  <c r="J14" i="3"/>
  <c r="C33" i="3" s="1"/>
  <c r="E33" i="3" s="1"/>
  <c r="E30" i="3"/>
  <c r="E31" i="3"/>
  <c r="B21" i="2"/>
  <c r="B12" i="2"/>
  <c r="J2" i="2" s="1"/>
  <c r="C21" i="2"/>
  <c r="D19" i="2"/>
  <c r="E19" i="2" s="1"/>
  <c r="B18" i="2"/>
  <c r="B20" i="2"/>
  <c r="C20" i="2"/>
  <c r="E20" i="2" s="1"/>
  <c r="F33" i="2"/>
  <c r="D18" i="2"/>
  <c r="E18" i="2" s="1"/>
  <c r="D21" i="2"/>
  <c r="E21" i="2" s="1"/>
  <c r="D22" i="2"/>
  <c r="E22" i="2" s="1"/>
  <c r="B14" i="1"/>
  <c r="C17" i="1"/>
  <c r="B12" i="1"/>
  <c r="E22" i="1" s="1"/>
  <c r="B11" i="1"/>
  <c r="B10" i="1"/>
  <c r="C25" i="1" s="1"/>
  <c r="C26" i="1" s="1"/>
  <c r="C31" i="1" s="1"/>
  <c r="C16" i="1"/>
  <c r="C34" i="3" l="1"/>
  <c r="E34" i="3"/>
  <c r="D40" i="3" s="1"/>
  <c r="I4" i="3" s="1"/>
  <c r="C50" i="3"/>
  <c r="C37" i="3"/>
  <c r="J4" i="2"/>
  <c r="C23" i="2" s="1"/>
  <c r="E23" i="2" s="1"/>
  <c r="J3" i="2"/>
  <c r="C24" i="2"/>
  <c r="C39" i="2" s="1"/>
  <c r="E24" i="2"/>
  <c r="C18" i="1"/>
  <c r="C19" i="1" s="1"/>
  <c r="B29" i="1" s="1"/>
  <c r="C36" i="1" s="1"/>
  <c r="G36" i="1" s="1"/>
  <c r="E23" i="1"/>
  <c r="E21" i="1"/>
  <c r="D43" i="3" l="1"/>
  <c r="I5" i="3" s="1"/>
  <c r="C67" i="3"/>
  <c r="C69" i="3" s="1"/>
  <c r="C49" i="3"/>
  <c r="C51" i="3" s="1"/>
  <c r="I7" i="3" s="1"/>
  <c r="C27" i="2"/>
  <c r="C40" i="2"/>
  <c r="C41" i="2" s="1"/>
  <c r="D33" i="2"/>
  <c r="D30" i="2"/>
  <c r="C33" i="1"/>
  <c r="C37" i="1" s="1"/>
  <c r="G37" i="1" s="1"/>
  <c r="C61" i="3" l="1"/>
  <c r="C63" i="3" s="1"/>
  <c r="C64" i="3" s="1"/>
  <c r="I6" i="3"/>
  <c r="C54" i="3"/>
  <c r="C55" i="3"/>
  <c r="E67" i="3"/>
  <c r="E68" i="3" s="1"/>
  <c r="C45" i="2"/>
  <c r="C44" i="2"/>
  <c r="C71" i="3" l="1"/>
  <c r="D71" i="3"/>
  <c r="E71" i="3"/>
  <c r="G71" i="3" l="1"/>
  <c r="C73" i="3" s="1"/>
  <c r="I8" i="3" s="1"/>
</calcChain>
</file>

<file path=xl/sharedStrings.xml><?xml version="1.0" encoding="utf-8"?>
<sst xmlns="http://schemas.openxmlformats.org/spreadsheetml/2006/main" count="336" uniqueCount="164">
  <si>
    <t>Decision Variables</t>
  </si>
  <si>
    <t>Concrete Weight</t>
  </si>
  <si>
    <t>kN/m3</t>
  </si>
  <si>
    <t>Earth Weight</t>
  </si>
  <si>
    <t>Coefficient of friction</t>
  </si>
  <si>
    <t>Coefficient of active earth pressure</t>
  </si>
  <si>
    <t>lb/ft3</t>
  </si>
  <si>
    <t>DC</t>
  </si>
  <si>
    <t>ft</t>
  </si>
  <si>
    <t>DA</t>
  </si>
  <si>
    <t>EB</t>
  </si>
  <si>
    <t>AF</t>
  </si>
  <si>
    <t>BF</t>
  </si>
  <si>
    <t>W1</t>
  </si>
  <si>
    <t xml:space="preserve">W1 = </t>
  </si>
  <si>
    <t xml:space="preserve">DC x DA x W_Concrete = </t>
  </si>
  <si>
    <t>lb</t>
  </si>
  <si>
    <t>W2 =</t>
  </si>
  <si>
    <t>CE</t>
  </si>
  <si>
    <t xml:space="preserve">0.5 x Eb x AE x W_Concrete = </t>
  </si>
  <si>
    <t>W3</t>
  </si>
  <si>
    <t xml:space="preserve">W3 = </t>
  </si>
  <si>
    <t xml:space="preserve">0.5 x AF x BF x W_Earth = </t>
  </si>
  <si>
    <t>Sum_W =</t>
  </si>
  <si>
    <t>Distance from forces to C</t>
  </si>
  <si>
    <t>W2</t>
  </si>
  <si>
    <t>x1 =</t>
  </si>
  <si>
    <t>x2 =</t>
  </si>
  <si>
    <t>x3 =</t>
  </si>
  <si>
    <t xml:space="preserve">CE + EB/3 = </t>
  </si>
  <si>
    <t>CE/2 =</t>
  </si>
  <si>
    <t xml:space="preserve">DA + 2xAF/3 = </t>
  </si>
  <si>
    <t>=</t>
  </si>
  <si>
    <t>lb/ft</t>
  </si>
  <si>
    <t>0.5 x BG x BF =</t>
  </si>
  <si>
    <t>BG = C_ActiveEarthPress x BF * W_Earth x 1ft</t>
  </si>
  <si>
    <t xml:space="preserve"> =</t>
  </si>
  <si>
    <r>
      <rPr>
        <b/>
        <sz val="11"/>
        <color theme="1"/>
        <rFont val="Calibri"/>
        <family val="2"/>
        <scheme val="minor"/>
      </rPr>
      <t>Horizontal thrust T</t>
    </r>
    <r>
      <rPr>
        <sz val="11"/>
        <color theme="1"/>
        <rFont val="Calibri"/>
        <family val="2"/>
        <scheme val="minor"/>
      </rPr>
      <t xml:space="preserve">  =</t>
    </r>
  </si>
  <si>
    <t>Maximum Frictional Force Preventing Sliding</t>
  </si>
  <si>
    <t>Fm = C_Friction x Sum_W =</t>
  </si>
  <si>
    <t xml:space="preserve">Fm/T = </t>
  </si>
  <si>
    <t>T x BG/3 =</t>
  </si>
  <si>
    <t>W1.x1 + W2.x2 + W3.x3 =</t>
  </si>
  <si>
    <t>lb . ft</t>
  </si>
  <si>
    <t>Factor of Safety Against Sliding (FSS) =</t>
  </si>
  <si>
    <t xml:space="preserve">Factor of Safety against Overtuning (FSO) = </t>
  </si>
  <si>
    <t>The moment of Stabilizing Forces (Ms) =</t>
  </si>
  <si>
    <t>The moment of the Overtuning   (Mo) =</t>
  </si>
  <si>
    <t>Ms/Mo =</t>
  </si>
  <si>
    <t>Lower Bound</t>
  </si>
  <si>
    <t>Upper Bound</t>
  </si>
  <si>
    <t>Type</t>
  </si>
  <si>
    <t>Objective Function (MIN) F_Cost =</t>
  </si>
  <si>
    <t>lb (/1ft long)</t>
  </si>
  <si>
    <t>Constraints</t>
  </si>
  <si>
    <t>≥</t>
  </si>
  <si>
    <t>Ref. Tyler G. Hicks, Handbook of civil engineering calculations, Page 34</t>
  </si>
  <si>
    <t>AB</t>
  </si>
  <si>
    <t>m</t>
  </si>
  <si>
    <t>BC</t>
  </si>
  <si>
    <t>CD</t>
  </si>
  <si>
    <t>DE</t>
  </si>
  <si>
    <t>EH</t>
  </si>
  <si>
    <t>HA</t>
  </si>
  <si>
    <t>EF</t>
  </si>
  <si>
    <t>FG</t>
  </si>
  <si>
    <t>γ'1</t>
  </si>
  <si>
    <t>φ'1</t>
  </si>
  <si>
    <t>c'1</t>
  </si>
  <si>
    <t>γ'2</t>
  </si>
  <si>
    <t>φ'2</t>
  </si>
  <si>
    <t>c'2</t>
  </si>
  <si>
    <t>Deg</t>
  </si>
  <si>
    <t>kPa</t>
  </si>
  <si>
    <t xml:space="preserve">H </t>
  </si>
  <si>
    <t>H1</t>
  </si>
  <si>
    <t>α</t>
  </si>
  <si>
    <t>Rad</t>
  </si>
  <si>
    <t xml:space="preserve">Rankine active earth force per unit length of wall </t>
  </si>
  <si>
    <t>Pa =</t>
  </si>
  <si>
    <t>Ka=</t>
  </si>
  <si>
    <t>kN/m</t>
  </si>
  <si>
    <t>Vertical earth force P_v =</t>
  </si>
  <si>
    <t>Horizontal eath force P_h =</t>
  </si>
  <si>
    <t>γ_Concrete</t>
  </si>
  <si>
    <t>Area</t>
  </si>
  <si>
    <t>Area 1</t>
  </si>
  <si>
    <t>Area 2</t>
  </si>
  <si>
    <t>Area 3</t>
  </si>
  <si>
    <t>Area 4</t>
  </si>
  <si>
    <t>Area 5</t>
  </si>
  <si>
    <t>H'=</t>
  </si>
  <si>
    <t>Moment Arm From Toe</t>
  </si>
  <si>
    <t>Moment</t>
  </si>
  <si>
    <t xml:space="preserve"> (kN.m/m)</t>
  </si>
  <si>
    <t>(m)</t>
  </si>
  <si>
    <t>Weight/Unit Length</t>
  </si>
  <si>
    <t>(m2)</t>
  </si>
  <si>
    <t>(kN/m)</t>
  </si>
  <si>
    <t>P_v =</t>
  </si>
  <si>
    <t>Sum_V =</t>
  </si>
  <si>
    <t>Sum_Mr</t>
  </si>
  <si>
    <t>The resisting moments</t>
  </si>
  <si>
    <t>The overturning moment</t>
  </si>
  <si>
    <t>M_o =</t>
  </si>
  <si>
    <t>Factor of safety against overturning</t>
  </si>
  <si>
    <t>FS_overturning</t>
  </si>
  <si>
    <t>&gt;=</t>
  </si>
  <si>
    <t>OK</t>
  </si>
  <si>
    <t>Eccentricity</t>
  </si>
  <si>
    <t xml:space="preserve">e = </t>
  </si>
  <si>
    <t>&lt;=</t>
  </si>
  <si>
    <t>Factor of safety against sliding</t>
  </si>
  <si>
    <t>Sum_F_r</t>
  </si>
  <si>
    <r>
      <rPr>
        <sz val="12"/>
        <color theme="1"/>
        <rFont val="Calibri"/>
        <family val="2"/>
      </rPr>
      <t>δ</t>
    </r>
    <r>
      <rPr>
        <sz val="13.8"/>
        <color theme="1"/>
        <rFont val="Times New Roman"/>
        <family val="1"/>
      </rPr>
      <t xml:space="preserve"> =</t>
    </r>
  </si>
  <si>
    <t>rad</t>
  </si>
  <si>
    <t xml:space="preserve">c'a = </t>
  </si>
  <si>
    <t>kN/m2</t>
  </si>
  <si>
    <t>P_h</t>
  </si>
  <si>
    <t>FS_sliding</t>
  </si>
  <si>
    <t>p_max</t>
  </si>
  <si>
    <t>p_min</t>
  </si>
  <si>
    <t>Nc</t>
  </si>
  <si>
    <t>Nq</t>
  </si>
  <si>
    <r>
      <t>N</t>
    </r>
    <r>
      <rPr>
        <sz val="12"/>
        <color theme="1"/>
        <rFont val="Calibri"/>
        <family val="2"/>
      </rPr>
      <t>γ</t>
    </r>
  </si>
  <si>
    <t>q</t>
  </si>
  <si>
    <t>D</t>
  </si>
  <si>
    <t>B'</t>
  </si>
  <si>
    <t>F_qd</t>
  </si>
  <si>
    <t>F_cd</t>
  </si>
  <si>
    <r>
      <t>F_</t>
    </r>
    <r>
      <rPr>
        <sz val="12"/>
        <color theme="1"/>
        <rFont val="Calibri"/>
        <family val="2"/>
      </rPr>
      <t>γd</t>
    </r>
  </si>
  <si>
    <t>Ψ</t>
  </si>
  <si>
    <t>F_ci</t>
  </si>
  <si>
    <t>F_qi</t>
  </si>
  <si>
    <t>F_γi</t>
  </si>
  <si>
    <t xml:space="preserve">q_ult = </t>
  </si>
  <si>
    <t>Term1</t>
  </si>
  <si>
    <t>Term2</t>
  </si>
  <si>
    <t>Term3</t>
  </si>
  <si>
    <t>FS_bearing =</t>
  </si>
  <si>
    <t>Factor of safety for bearing capacity</t>
  </si>
  <si>
    <t xml:space="preserve">REF. </t>
  </si>
  <si>
    <t>Geotechnical Engineering Design (Book)</t>
  </si>
  <si>
    <t>Decision variables</t>
  </si>
  <si>
    <t xml:space="preserve">H_dv = </t>
  </si>
  <si>
    <t>D_dv =</t>
  </si>
  <si>
    <t>AB_dv =</t>
  </si>
  <si>
    <t>AH_dv =</t>
  </si>
  <si>
    <t>HE_dv =</t>
  </si>
  <si>
    <t>GF_dv =</t>
  </si>
  <si>
    <t xml:space="preserve">ED_dv = </t>
  </si>
  <si>
    <t>Objective Function</t>
  </si>
  <si>
    <t xml:space="preserve">f = </t>
  </si>
  <si>
    <t>MIN</t>
  </si>
  <si>
    <t xml:space="preserve">Rankine active earth force per
 unit length of wall </t>
  </si>
  <si>
    <t>Constraint 1</t>
  </si>
  <si>
    <t>Constraint 2</t>
  </si>
  <si>
    <t>Constraint 3</t>
  </si>
  <si>
    <t>Constraint 4</t>
  </si>
  <si>
    <t>Constraint 5</t>
  </si>
  <si>
    <t>Constraint 6</t>
  </si>
  <si>
    <t>Nγ</t>
  </si>
  <si>
    <t>F_γd</t>
  </si>
  <si>
    <t>δ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</si>
</sst>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</font>
    <font>
      <b/>
      <sz val="12"/>
      <color theme="1"/>
      <name val="Times New Roman"/>
      <family val="1"/>
    </font>
    <font>
      <sz val="13.8"/>
      <color theme="1"/>
      <name val="Times New Roman"/>
      <family val="1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164" fontId="1" fillId="0" borderId="0" xfId="0" applyNumberFormat="1" applyFont="1" applyAlignment="1">
      <alignment horizontal="center"/>
    </xf>
    <xf numFmtId="0" fontId="0" fillId="0" borderId="0" xfId="0" applyFont="1"/>
    <xf numFmtId="164" fontId="1" fillId="0" borderId="0" xfId="0" applyNumberFormat="1" applyFont="1"/>
    <xf numFmtId="164" fontId="0" fillId="0" borderId="0" xfId="0" applyNumberFormat="1" applyFont="1"/>
    <xf numFmtId="164" fontId="0" fillId="0" borderId="0" xfId="0" applyNumberFormat="1" applyFont="1" applyAlignment="1">
      <alignment horizontal="center"/>
    </xf>
    <xf numFmtId="2" fontId="0" fillId="0" borderId="0" xfId="0" applyNumberFormat="1" applyFont="1"/>
    <xf numFmtId="0" fontId="0" fillId="0" borderId="0" xfId="0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2" fillId="2" borderId="4" xfId="0" applyFont="1" applyFill="1" applyBorder="1"/>
    <xf numFmtId="0" fontId="2" fillId="2" borderId="0" xfId="0" applyFont="1" applyFill="1" applyBorder="1"/>
    <xf numFmtId="0" fontId="2" fillId="2" borderId="6" xfId="0" applyFont="1" applyFill="1" applyBorder="1"/>
    <xf numFmtId="0" fontId="2" fillId="2" borderId="7" xfId="0" applyFont="1" applyFill="1" applyBorder="1"/>
    <xf numFmtId="2" fontId="2" fillId="2" borderId="0" xfId="0" applyNumberFormat="1" applyFont="1" applyFill="1" applyBorder="1"/>
    <xf numFmtId="2" fontId="2" fillId="2" borderId="7" xfId="0" applyNumberFormat="1" applyFont="1" applyFill="1" applyBorder="1"/>
    <xf numFmtId="2" fontId="0" fillId="4" borderId="12" xfId="0" applyNumberFormat="1" applyFont="1" applyFill="1" applyBorder="1" applyAlignment="1">
      <alignment horizontal="center"/>
    </xf>
    <xf numFmtId="0" fontId="1" fillId="2" borderId="9" xfId="0" applyFont="1" applyFill="1" applyBorder="1"/>
    <xf numFmtId="0" fontId="3" fillId="2" borderId="10" xfId="0" applyFont="1" applyFill="1" applyBorder="1"/>
    <xf numFmtId="2" fontId="2" fillId="2" borderId="11" xfId="0" applyNumberFormat="1" applyFont="1" applyFill="1" applyBorder="1"/>
    <xf numFmtId="0" fontId="1" fillId="0" borderId="1" xfId="0" applyFont="1" applyBorder="1"/>
    <xf numFmtId="0" fontId="0" fillId="0" borderId="2" xfId="0" applyFont="1" applyBorder="1"/>
    <xf numFmtId="2" fontId="0" fillId="0" borderId="3" xfId="0" applyNumberFormat="1" applyFont="1" applyBorder="1"/>
    <xf numFmtId="0" fontId="0" fillId="0" borderId="6" xfId="0" applyFont="1" applyBorder="1"/>
    <xf numFmtId="0" fontId="0" fillId="0" borderId="7" xfId="0" applyFont="1" applyBorder="1"/>
    <xf numFmtId="2" fontId="0" fillId="0" borderId="8" xfId="0" applyNumberFormat="1" applyFont="1" applyBorder="1"/>
    <xf numFmtId="2" fontId="0" fillId="0" borderId="2" xfId="0" applyNumberFormat="1" applyFont="1" applyBorder="1"/>
    <xf numFmtId="0" fontId="0" fillId="0" borderId="3" xfId="0" applyFont="1" applyBorder="1"/>
    <xf numFmtId="0" fontId="1" fillId="0" borderId="4" xfId="0" applyFont="1" applyBorder="1"/>
    <xf numFmtId="0" fontId="0" fillId="0" borderId="0" xfId="0" applyFont="1" applyBorder="1"/>
    <xf numFmtId="2" fontId="0" fillId="0" borderId="0" xfId="0" applyNumberFormat="1" applyFont="1" applyBorder="1"/>
    <xf numFmtId="0" fontId="0" fillId="0" borderId="5" xfId="0" applyFont="1" applyBorder="1"/>
    <xf numFmtId="2" fontId="0" fillId="0" borderId="7" xfId="0" applyNumberFormat="1" applyFont="1" applyBorder="1"/>
    <xf numFmtId="0" fontId="0" fillId="0" borderId="8" xfId="0" applyFont="1" applyBorder="1"/>
    <xf numFmtId="0" fontId="1" fillId="0" borderId="6" xfId="0" applyFont="1" applyBorder="1"/>
    <xf numFmtId="0" fontId="0" fillId="0" borderId="0" xfId="0" applyFont="1" applyFill="1" applyBorder="1" applyAlignment="1">
      <alignment horizontal="center"/>
    </xf>
    <xf numFmtId="0" fontId="3" fillId="2" borderId="1" xfId="0" applyFont="1" applyFill="1" applyBorder="1"/>
    <xf numFmtId="2" fontId="3" fillId="2" borderId="2" xfId="0" applyNumberFormat="1" applyFont="1" applyFill="1" applyBorder="1" applyAlignment="1">
      <alignment horizontal="center"/>
    </xf>
    <xf numFmtId="0" fontId="3" fillId="2" borderId="2" xfId="0" applyFont="1" applyFill="1" applyBorder="1"/>
    <xf numFmtId="0" fontId="3" fillId="2" borderId="3" xfId="0" applyFont="1" applyFill="1" applyBorder="1"/>
    <xf numFmtId="0" fontId="3" fillId="2" borderId="4" xfId="0" applyFont="1" applyFill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5" xfId="0" applyFont="1" applyFill="1" applyBorder="1"/>
    <xf numFmtId="0" fontId="3" fillId="2" borderId="6" xfId="0" applyFont="1" applyFill="1" applyBorder="1" applyAlignment="1">
      <alignment horizontal="center"/>
    </xf>
    <xf numFmtId="2" fontId="3" fillId="2" borderId="7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/>
    <xf numFmtId="164" fontId="1" fillId="3" borderId="12" xfId="0" applyNumberFormat="1" applyFont="1" applyFill="1" applyBorder="1" applyAlignment="1">
      <alignment horizontal="center"/>
    </xf>
    <xf numFmtId="0" fontId="0" fillId="0" borderId="0" xfId="0" applyFont="1" applyFill="1"/>
    <xf numFmtId="2" fontId="0" fillId="0" borderId="0" xfId="0" applyNumberFormat="1" applyFont="1" applyFill="1"/>
    <xf numFmtId="0" fontId="4" fillId="0" borderId="2" xfId="0" applyFont="1" applyFill="1" applyBorder="1"/>
    <xf numFmtId="2" fontId="0" fillId="0" borderId="0" xfId="0" applyNumberFormat="1" applyFont="1" applyFill="1" applyBorder="1" applyAlignment="1">
      <alignment horizontal="center"/>
    </xf>
    <xf numFmtId="2" fontId="4" fillId="0" borderId="2" xfId="0" applyNumberFormat="1" applyFont="1" applyFill="1" applyBorder="1"/>
    <xf numFmtId="0" fontId="4" fillId="0" borderId="1" xfId="0" applyFont="1" applyFill="1" applyBorder="1"/>
    <xf numFmtId="2" fontId="5" fillId="0" borderId="1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2" fontId="5" fillId="0" borderId="3" xfId="0" applyNumberFormat="1" applyFont="1" applyBorder="1" applyAlignment="1">
      <alignment horizontal="center"/>
    </xf>
    <xf numFmtId="2" fontId="5" fillId="0" borderId="0" xfId="0" applyNumberFormat="1" applyFont="1" applyAlignment="1">
      <alignment horizontal="center"/>
    </xf>
    <xf numFmtId="2" fontId="6" fillId="0" borderId="1" xfId="0" applyNumberFormat="1" applyFont="1" applyBorder="1" applyAlignment="1">
      <alignment horizontal="center"/>
    </xf>
    <xf numFmtId="2" fontId="5" fillId="0" borderId="0" xfId="0" applyNumberFormat="1" applyFont="1" applyAlignment="1">
      <alignment horizontal="left"/>
    </xf>
    <xf numFmtId="2" fontId="5" fillId="0" borderId="4" xfId="0" applyNumberFormat="1" applyFont="1" applyBorder="1" applyAlignment="1">
      <alignment horizontal="center"/>
    </xf>
    <xf numFmtId="2" fontId="5" fillId="0" borderId="0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/>
    </xf>
    <xf numFmtId="2" fontId="6" fillId="0" borderId="4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/>
    </xf>
    <xf numFmtId="2" fontId="5" fillId="0" borderId="7" xfId="0" applyNumberFormat="1" applyFont="1" applyBorder="1" applyAlignment="1">
      <alignment horizontal="center"/>
    </xf>
    <xf numFmtId="2" fontId="5" fillId="0" borderId="8" xfId="0" applyNumberFormat="1" applyFont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5" fillId="0" borderId="10" xfId="0" applyNumberFormat="1" applyFont="1" applyBorder="1" applyAlignment="1">
      <alignment horizontal="center"/>
    </xf>
    <xf numFmtId="2" fontId="5" fillId="0" borderId="11" xfId="0" applyNumberFormat="1" applyFon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7" fillId="0" borderId="2" xfId="0" applyNumberFormat="1" applyFont="1" applyBorder="1" applyAlignment="1"/>
    <xf numFmtId="2" fontId="7" fillId="0" borderId="3" xfId="0" applyNumberFormat="1" applyFont="1" applyBorder="1" applyAlignment="1"/>
    <xf numFmtId="2" fontId="6" fillId="0" borderId="0" xfId="0" applyNumberFormat="1" applyFont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5" fillId="0" borderId="1" xfId="0" applyNumberFormat="1" applyFont="1" applyBorder="1" applyAlignment="1">
      <alignment horizontal="center" vertical="center"/>
    </xf>
    <xf numFmtId="2" fontId="5" fillId="0" borderId="2" xfId="0" applyNumberFormat="1" applyFont="1" applyBorder="1" applyAlignment="1">
      <alignment horizontal="center" vertical="center"/>
    </xf>
    <xf numFmtId="2" fontId="5" fillId="0" borderId="3" xfId="0" applyNumberFormat="1" applyFont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left" vertical="center" wrapText="1"/>
    </xf>
    <xf numFmtId="0" fontId="9" fillId="0" borderId="13" xfId="0" applyFont="1" applyBorder="1"/>
    <xf numFmtId="0" fontId="10" fillId="0" borderId="19" xfId="0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2" fontId="10" fillId="2" borderId="19" xfId="0" applyNumberFormat="1" applyFont="1" applyFill="1" applyBorder="1" applyAlignment="1">
      <alignment horizontal="center"/>
    </xf>
    <xf numFmtId="2" fontId="10" fillId="2" borderId="12" xfId="0" applyNumberFormat="1" applyFont="1" applyFill="1" applyBorder="1" applyAlignment="1">
      <alignment horizontal="center"/>
    </xf>
    <xf numFmtId="2" fontId="10" fillId="2" borderId="20" xfId="0" applyNumberFormat="1" applyFont="1" applyFill="1" applyBorder="1" applyAlignment="1">
      <alignment horizontal="center"/>
    </xf>
    <xf numFmtId="0" fontId="9" fillId="0" borderId="21" xfId="0" applyFont="1" applyBorder="1"/>
    <xf numFmtId="0" fontId="10" fillId="0" borderId="5" xfId="0" applyFont="1" applyBorder="1" applyAlignment="1">
      <alignment horizontal="center"/>
    </xf>
    <xf numFmtId="2" fontId="10" fillId="2" borderId="0" xfId="0" applyNumberFormat="1" applyFont="1" applyFill="1" applyBorder="1" applyAlignment="1">
      <alignment horizontal="center"/>
    </xf>
    <xf numFmtId="2" fontId="10" fillId="0" borderId="7" xfId="0" applyNumberFormat="1" applyFont="1" applyBorder="1" applyAlignment="1">
      <alignment horizontal="center"/>
    </xf>
    <xf numFmtId="2" fontId="10" fillId="2" borderId="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5" fillId="0" borderId="0" xfId="0" applyFont="1"/>
    <xf numFmtId="0" fontId="10" fillId="0" borderId="1" xfId="0" applyFont="1" applyBorder="1"/>
    <xf numFmtId="0" fontId="9" fillId="0" borderId="2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13" xfId="0" applyFont="1" applyBorder="1" applyAlignment="1">
      <alignment horizontal="left"/>
    </xf>
    <xf numFmtId="0" fontId="10" fillId="2" borderId="14" xfId="0" applyFont="1" applyFill="1" applyBorder="1"/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6" xfId="0" applyFont="1" applyBorder="1"/>
    <xf numFmtId="0" fontId="10" fillId="0" borderId="7" xfId="0" applyFont="1" applyBorder="1"/>
    <xf numFmtId="2" fontId="10" fillId="2" borderId="7" xfId="0" applyNumberFormat="1" applyFont="1" applyFill="1" applyBorder="1"/>
    <xf numFmtId="0" fontId="10" fillId="0" borderId="8" xfId="0" applyFont="1" applyBorder="1"/>
    <xf numFmtId="0" fontId="10" fillId="0" borderId="15" xfId="0" applyFont="1" applyBorder="1"/>
    <xf numFmtId="0" fontId="10" fillId="2" borderId="16" xfId="0" applyFont="1" applyFill="1" applyBorder="1"/>
    <xf numFmtId="0" fontId="10" fillId="0" borderId="4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7" xfId="0" applyFont="1" applyBorder="1"/>
    <xf numFmtId="0" fontId="10" fillId="2" borderId="18" xfId="0" applyFont="1" applyFill="1" applyBorder="1"/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Fill="1" applyBorder="1"/>
    <xf numFmtId="2" fontId="7" fillId="0" borderId="2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3" xfId="0" applyNumberFormat="1" applyFont="1" applyBorder="1" applyAlignment="1">
      <alignment horizontal="center"/>
    </xf>
    <xf numFmtId="0" fontId="9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200106</xdr:colOff>
      <xdr:row>1</xdr:row>
      <xdr:rowOff>84310</xdr:rowOff>
    </xdr:from>
    <xdr:to>
      <xdr:col>9</xdr:col>
      <xdr:colOff>3921397</xdr:colOff>
      <xdr:row>27</xdr:row>
      <xdr:rowOff>149560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42677" y="265739"/>
          <a:ext cx="3721291" cy="48368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sus\Desktop\CHDE_Solv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tainingWallOpt"/>
      <sheetName val="CHDE_Solver"/>
    </sheetNames>
    <definedNames>
      <definedName name="Open_CHDE_Constr_Solver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7"/>
  <sheetViews>
    <sheetView tabSelected="1" zoomScaleNormal="100" workbookViewId="0">
      <selection activeCell="B40" sqref="B40"/>
    </sheetView>
  </sheetViews>
  <sheetFormatPr defaultColWidth="8.7109375" defaultRowHeight="15" x14ac:dyDescent="0.25"/>
  <cols>
    <col min="1" max="1" width="38.7109375" style="2" bestFit="1" customWidth="1"/>
    <col min="2" max="2" width="25.5703125" style="2" customWidth="1"/>
    <col min="3" max="3" width="11.140625" style="6" bestFit="1" customWidth="1"/>
    <col min="4" max="4" width="13" style="2" bestFit="1" customWidth="1"/>
    <col min="5" max="5" width="11.85546875" style="2" bestFit="1" customWidth="1"/>
    <col min="6" max="6" width="10.5703125" style="2" bestFit="1" customWidth="1"/>
    <col min="7" max="7" width="9.5703125" style="8" bestFit="1" customWidth="1"/>
    <col min="8" max="8" width="3.42578125" style="2" customWidth="1"/>
    <col min="9" max="9" width="5.5703125" style="2" customWidth="1"/>
    <col min="10" max="10" width="61" style="2" bestFit="1" customWidth="1"/>
    <col min="11" max="16384" width="8.7109375" style="2"/>
  </cols>
  <sheetData>
    <row r="1" spans="1:10" ht="14.45" x14ac:dyDescent="0.35">
      <c r="A1" s="2" t="s">
        <v>1</v>
      </c>
      <c r="B1" s="2">
        <v>150</v>
      </c>
      <c r="C1" s="2" t="s">
        <v>6</v>
      </c>
      <c r="D1" s="2">
        <v>23.56</v>
      </c>
      <c r="E1" s="4" t="s">
        <v>2</v>
      </c>
      <c r="I1" s="4"/>
      <c r="J1" s="1" t="s">
        <v>56</v>
      </c>
    </row>
    <row r="2" spans="1:10" ht="14.45" x14ac:dyDescent="0.35">
      <c r="A2" s="2" t="s">
        <v>3</v>
      </c>
      <c r="B2" s="2">
        <v>100</v>
      </c>
      <c r="C2" s="2" t="s">
        <v>6</v>
      </c>
      <c r="D2" s="2">
        <v>15.71</v>
      </c>
      <c r="E2" s="4" t="s">
        <v>2</v>
      </c>
      <c r="H2" s="5"/>
      <c r="I2" s="4"/>
    </row>
    <row r="3" spans="1:10" ht="14.45" x14ac:dyDescent="0.35">
      <c r="A3" s="2" t="s">
        <v>4</v>
      </c>
      <c r="B3" s="2">
        <v>0.6</v>
      </c>
      <c r="C3" s="4"/>
      <c r="D3" s="4"/>
      <c r="E3" s="5"/>
      <c r="F3" s="5"/>
      <c r="H3" s="5"/>
      <c r="I3" s="4"/>
    </row>
    <row r="4" spans="1:10" ht="14.45" x14ac:dyDescent="0.35">
      <c r="A4" s="2" t="s">
        <v>5</v>
      </c>
      <c r="B4" s="2">
        <v>0.33300000000000002</v>
      </c>
      <c r="C4" s="4"/>
      <c r="D4" s="4"/>
      <c r="E4" s="5"/>
      <c r="F4" s="5"/>
      <c r="H4" s="5"/>
      <c r="I4" s="4"/>
    </row>
    <row r="5" spans="1:10" thickBot="1" x14ac:dyDescent="0.4">
      <c r="C5" s="4"/>
      <c r="D5" s="4"/>
      <c r="E5" s="5"/>
      <c r="F5" s="5"/>
      <c r="H5" s="5"/>
      <c r="I5" s="4"/>
    </row>
    <row r="6" spans="1:10" thickBot="1" x14ac:dyDescent="0.4">
      <c r="A6" s="124" t="s">
        <v>0</v>
      </c>
      <c r="B6" s="125"/>
      <c r="C6" s="125"/>
      <c r="D6" s="47" t="s">
        <v>49</v>
      </c>
      <c r="E6" s="47" t="s">
        <v>50</v>
      </c>
      <c r="F6" s="47" t="s">
        <v>51</v>
      </c>
      <c r="H6" s="4"/>
      <c r="I6" s="4"/>
    </row>
    <row r="7" spans="1:10" ht="14.45" x14ac:dyDescent="0.35">
      <c r="A7" s="9" t="s">
        <v>10</v>
      </c>
      <c r="B7" s="10">
        <v>4.5889580230234674</v>
      </c>
      <c r="C7" s="13" t="s">
        <v>8</v>
      </c>
      <c r="D7" s="15">
        <v>3</v>
      </c>
      <c r="E7" s="15">
        <v>10</v>
      </c>
      <c r="F7" s="15">
        <v>1</v>
      </c>
      <c r="I7" s="4"/>
    </row>
    <row r="8" spans="1:10" thickBot="1" x14ac:dyDescent="0.4">
      <c r="A8" s="11" t="s">
        <v>9</v>
      </c>
      <c r="B8" s="12">
        <v>1.5938811535121926</v>
      </c>
      <c r="C8" s="14" t="s">
        <v>8</v>
      </c>
      <c r="D8" s="15">
        <v>1</v>
      </c>
      <c r="E8" s="15">
        <v>5</v>
      </c>
      <c r="F8" s="15">
        <v>1</v>
      </c>
      <c r="I8" s="4"/>
    </row>
    <row r="9" spans="1:10" ht="14.45" x14ac:dyDescent="0.35">
      <c r="A9" s="53" t="s">
        <v>7</v>
      </c>
      <c r="B9" s="50">
        <v>15</v>
      </c>
      <c r="C9" s="52" t="s">
        <v>8</v>
      </c>
      <c r="D9" s="51"/>
      <c r="E9" s="51"/>
      <c r="F9" s="51"/>
      <c r="I9" s="4"/>
    </row>
    <row r="10" spans="1:10" ht="14.45" x14ac:dyDescent="0.35">
      <c r="A10" s="48" t="s">
        <v>12</v>
      </c>
      <c r="B10" s="48">
        <f>B9</f>
        <v>15</v>
      </c>
      <c r="C10" s="49" t="s">
        <v>8</v>
      </c>
      <c r="D10" s="4"/>
      <c r="I10" s="4"/>
    </row>
    <row r="11" spans="1:10" ht="14.45" x14ac:dyDescent="0.35">
      <c r="A11" s="2" t="s">
        <v>11</v>
      </c>
      <c r="B11" s="2">
        <f>B7</f>
        <v>4.5889580230234674</v>
      </c>
      <c r="C11" s="6" t="s">
        <v>8</v>
      </c>
      <c r="D11" s="4"/>
      <c r="E11" s="4"/>
      <c r="F11" s="4"/>
      <c r="H11" s="4"/>
      <c r="I11" s="4"/>
    </row>
    <row r="12" spans="1:10" ht="14.45" x14ac:dyDescent="0.35">
      <c r="A12" s="2" t="s">
        <v>18</v>
      </c>
      <c r="B12" s="2">
        <f>B8</f>
        <v>1.5938811535121926</v>
      </c>
      <c r="C12" s="6" t="s">
        <v>8</v>
      </c>
      <c r="D12" s="4"/>
      <c r="F12" s="4"/>
      <c r="H12" s="4"/>
      <c r="I12" s="4"/>
    </row>
    <row r="13" spans="1:10" thickBot="1" x14ac:dyDescent="0.4">
      <c r="D13" s="4"/>
      <c r="F13" s="4"/>
      <c r="H13" s="4"/>
      <c r="I13" s="4"/>
    </row>
    <row r="14" spans="1:10" thickBot="1" x14ac:dyDescent="0.4">
      <c r="A14" s="16" t="s">
        <v>52</v>
      </c>
      <c r="B14" s="17">
        <f>(B9*B8 + B9*B7/2)*B1*1</f>
        <v>8748.8103713038345</v>
      </c>
      <c r="C14" s="18" t="s">
        <v>53</v>
      </c>
      <c r="D14" s="4"/>
      <c r="F14" s="4"/>
      <c r="H14" s="4"/>
      <c r="I14" s="4"/>
    </row>
    <row r="15" spans="1:10" ht="14.45" x14ac:dyDescent="0.35">
      <c r="D15" s="4"/>
      <c r="F15" s="4"/>
      <c r="H15" s="4"/>
      <c r="I15" s="4"/>
    </row>
    <row r="16" spans="1:10" ht="14.45" x14ac:dyDescent="0.35">
      <c r="A16" s="4" t="s">
        <v>14</v>
      </c>
      <c r="B16" s="4" t="s">
        <v>15</v>
      </c>
      <c r="C16" s="8">
        <f>B9*B8*B1</f>
        <v>3586.2325954024332</v>
      </c>
      <c r="D16" s="4" t="s">
        <v>16</v>
      </c>
      <c r="F16" s="4"/>
      <c r="H16" s="4"/>
      <c r="I16" s="4"/>
    </row>
    <row r="17" spans="1:9" ht="14.45" x14ac:dyDescent="0.35">
      <c r="A17" s="4" t="s">
        <v>17</v>
      </c>
      <c r="B17" s="4" t="s">
        <v>19</v>
      </c>
      <c r="C17" s="8">
        <f>0.5*B7*B9*B1</f>
        <v>5162.5777759014009</v>
      </c>
      <c r="D17" s="4" t="s">
        <v>16</v>
      </c>
      <c r="F17" s="4"/>
      <c r="H17" s="4"/>
      <c r="I17" s="4"/>
    </row>
    <row r="18" spans="1:9" ht="14.45" x14ac:dyDescent="0.35">
      <c r="A18" s="4" t="s">
        <v>21</v>
      </c>
      <c r="B18" s="4" t="s">
        <v>22</v>
      </c>
      <c r="C18" s="8">
        <f>0.5*B11*B10*B2</f>
        <v>3441.7185172676009</v>
      </c>
      <c r="D18" s="4" t="s">
        <v>16</v>
      </c>
      <c r="F18" s="4"/>
      <c r="H18" s="4"/>
      <c r="I18" s="4"/>
    </row>
    <row r="19" spans="1:9" ht="14.45" x14ac:dyDescent="0.35">
      <c r="A19" s="3" t="s">
        <v>23</v>
      </c>
      <c r="B19" s="4"/>
      <c r="C19" s="8">
        <f>SUM(C16:C18)</f>
        <v>12190.528888571436</v>
      </c>
      <c r="D19" s="4" t="s">
        <v>16</v>
      </c>
      <c r="E19" s="4"/>
      <c r="F19" s="4"/>
      <c r="H19" s="4"/>
      <c r="I19" s="4"/>
    </row>
    <row r="20" spans="1:9" ht="14.45" x14ac:dyDescent="0.35">
      <c r="A20" s="3"/>
      <c r="B20" s="4"/>
      <c r="C20" s="8"/>
      <c r="D20" s="4"/>
      <c r="E20" s="4"/>
      <c r="F20" s="4"/>
      <c r="H20" s="4"/>
      <c r="I20" s="4"/>
    </row>
    <row r="21" spans="1:9" ht="14.45" x14ac:dyDescent="0.35">
      <c r="A21" s="4" t="s">
        <v>24</v>
      </c>
      <c r="B21" s="2" t="s">
        <v>13</v>
      </c>
      <c r="C21" s="6" t="s">
        <v>26</v>
      </c>
      <c r="D21" s="2" t="s">
        <v>30</v>
      </c>
      <c r="E21" s="8">
        <f>B12/2</f>
        <v>0.79694057675609631</v>
      </c>
      <c r="F21" s="2" t="s">
        <v>8</v>
      </c>
      <c r="G21" s="6"/>
    </row>
    <row r="22" spans="1:9" ht="14.45" x14ac:dyDescent="0.35">
      <c r="B22" s="2" t="s">
        <v>25</v>
      </c>
      <c r="C22" s="6" t="s">
        <v>27</v>
      </c>
      <c r="D22" s="2" t="s">
        <v>29</v>
      </c>
      <c r="E22" s="8">
        <f>B12+B7/3</f>
        <v>3.1235338278533487</v>
      </c>
      <c r="F22" s="2" t="s">
        <v>8</v>
      </c>
    </row>
    <row r="23" spans="1:9" ht="14.45" x14ac:dyDescent="0.35">
      <c r="B23" s="2" t="s">
        <v>20</v>
      </c>
      <c r="C23" s="6" t="s">
        <v>28</v>
      </c>
      <c r="D23" s="2" t="s">
        <v>31</v>
      </c>
      <c r="E23" s="8">
        <f>B8+2*B11/3</f>
        <v>4.6531865021945045</v>
      </c>
      <c r="F23" s="2" t="s">
        <v>8</v>
      </c>
    </row>
    <row r="25" spans="1:9" ht="14.45" x14ac:dyDescent="0.35">
      <c r="A25" s="2" t="s">
        <v>35</v>
      </c>
      <c r="B25" s="2" t="s">
        <v>36</v>
      </c>
      <c r="C25" s="2">
        <f>B4*B10*B2 * 1</f>
        <v>499.5</v>
      </c>
      <c r="D25" s="6" t="s">
        <v>33</v>
      </c>
    </row>
    <row r="26" spans="1:9" ht="14.45" x14ac:dyDescent="0.35">
      <c r="A26" s="2" t="s">
        <v>37</v>
      </c>
      <c r="B26" s="2" t="s">
        <v>34</v>
      </c>
      <c r="C26" s="6">
        <f>0.5*C25*B10</f>
        <v>3746.25</v>
      </c>
      <c r="D26" s="2" t="s">
        <v>16</v>
      </c>
    </row>
    <row r="27" spans="1:9" thickBot="1" x14ac:dyDescent="0.4"/>
    <row r="28" spans="1:9" ht="14.45" x14ac:dyDescent="0.35">
      <c r="A28" s="19" t="s">
        <v>38</v>
      </c>
      <c r="B28" s="20"/>
      <c r="C28" s="21"/>
    </row>
    <row r="29" spans="1:9" thickBot="1" x14ac:dyDescent="0.4">
      <c r="A29" s="22" t="s">
        <v>39</v>
      </c>
      <c r="B29" s="23">
        <f>B3*C19</f>
        <v>7314.3173331428616</v>
      </c>
      <c r="C29" s="24" t="s">
        <v>16</v>
      </c>
    </row>
    <row r="30" spans="1:9" ht="15.75" thickBot="1" x14ac:dyDescent="0.3"/>
    <row r="31" spans="1:9" x14ac:dyDescent="0.25">
      <c r="A31" s="19" t="s">
        <v>47</v>
      </c>
      <c r="B31" s="20" t="s">
        <v>41</v>
      </c>
      <c r="C31" s="25">
        <f>C26*B10/3</f>
        <v>18731.25</v>
      </c>
      <c r="D31" s="26" t="s">
        <v>43</v>
      </c>
    </row>
    <row r="32" spans="1:9" x14ac:dyDescent="0.25">
      <c r="A32" s="27" t="s">
        <v>46</v>
      </c>
      <c r="B32" s="28"/>
      <c r="C32" s="29"/>
      <c r="D32" s="30"/>
    </row>
    <row r="33" spans="1:9" ht="15.75" thickBot="1" x14ac:dyDescent="0.3">
      <c r="A33" s="22" t="s">
        <v>42</v>
      </c>
      <c r="B33" s="23" t="s">
        <v>32</v>
      </c>
      <c r="C33" s="31">
        <f>SUMPRODUCT(C16:C18,E21:E23)</f>
        <v>34998.458743815943</v>
      </c>
      <c r="D33" s="32" t="s">
        <v>43</v>
      </c>
    </row>
    <row r="34" spans="1:9" ht="15.75" thickBot="1" x14ac:dyDescent="0.3"/>
    <row r="35" spans="1:9" ht="15.75" thickBot="1" x14ac:dyDescent="0.3">
      <c r="D35" s="7"/>
      <c r="E35" s="7"/>
      <c r="F35" s="35" t="s">
        <v>54</v>
      </c>
      <c r="G35" s="36"/>
      <c r="H35" s="37"/>
      <c r="I35" s="38"/>
    </row>
    <row r="36" spans="1:9" x14ac:dyDescent="0.25">
      <c r="A36" s="19" t="s">
        <v>44</v>
      </c>
      <c r="B36" s="20" t="s">
        <v>40</v>
      </c>
      <c r="C36" s="21">
        <f>B29/C26</f>
        <v>1.9524370592306604</v>
      </c>
      <c r="D36" s="34" t="s">
        <v>55</v>
      </c>
      <c r="E36" s="7">
        <v>1.9</v>
      </c>
      <c r="F36" s="39">
        <v>1</v>
      </c>
      <c r="G36" s="40">
        <f>C36-E36</f>
        <v>5.2437059230660443E-2</v>
      </c>
      <c r="H36" s="41" t="s">
        <v>55</v>
      </c>
      <c r="I36" s="42">
        <v>0</v>
      </c>
    </row>
    <row r="37" spans="1:9" ht="15.75" thickBot="1" x14ac:dyDescent="0.3">
      <c r="A37" s="33" t="s">
        <v>45</v>
      </c>
      <c r="B37" s="23" t="s">
        <v>48</v>
      </c>
      <c r="C37" s="24">
        <f>C33/C31</f>
        <v>1.8684529192561063</v>
      </c>
      <c r="D37" s="34" t="s">
        <v>55</v>
      </c>
      <c r="E37" s="7">
        <v>1.8</v>
      </c>
      <c r="F37" s="43">
        <v>2</v>
      </c>
      <c r="G37" s="44">
        <f>C37-E37</f>
        <v>6.8452919256106304E-2</v>
      </c>
      <c r="H37" s="45" t="s">
        <v>55</v>
      </c>
      <c r="I37" s="46">
        <v>0</v>
      </c>
    </row>
  </sheetData>
  <mergeCells count="1">
    <mergeCell ref="A6:C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9"/>
  <sheetViews>
    <sheetView zoomScale="145" zoomScaleNormal="145" workbookViewId="0">
      <selection activeCell="D11" sqref="D11"/>
    </sheetView>
  </sheetViews>
  <sheetFormatPr defaultRowHeight="15.75" x14ac:dyDescent="0.25"/>
  <cols>
    <col min="1" max="1" width="10" style="97" bestFit="1" customWidth="1"/>
    <col min="2" max="2" width="15" style="97" bestFit="1" customWidth="1"/>
    <col min="3" max="3" width="18.85546875" style="97" bestFit="1" customWidth="1"/>
    <col min="4" max="4" width="23.28515625" style="97" bestFit="1" customWidth="1"/>
    <col min="5" max="5" width="11.28515625" style="97" bestFit="1" customWidth="1"/>
    <col min="6" max="6" width="6.28515625" style="97" bestFit="1" customWidth="1"/>
    <col min="7" max="7" width="7.28515625" style="97" bestFit="1" customWidth="1"/>
    <col min="8" max="8" width="13.7109375" style="97" bestFit="1" customWidth="1"/>
    <col min="9" max="9" width="28.5703125" style="97" bestFit="1" customWidth="1"/>
    <col min="10" max="10" width="7.28515625" style="97" bestFit="1" customWidth="1"/>
    <col min="11" max="11" width="6.28515625" style="97" bestFit="1" customWidth="1"/>
    <col min="12" max="16384" width="9.140625" style="97"/>
  </cols>
  <sheetData>
    <row r="1" spans="1:11" ht="16.5" thickBot="1" x14ac:dyDescent="0.3">
      <c r="A1" s="130" t="s">
        <v>143</v>
      </c>
      <c r="B1" s="130"/>
      <c r="C1" s="96" t="s">
        <v>49</v>
      </c>
      <c r="D1" s="96" t="s">
        <v>50</v>
      </c>
      <c r="E1" s="96" t="s">
        <v>51</v>
      </c>
      <c r="H1" s="98"/>
      <c r="I1" s="99" t="s">
        <v>151</v>
      </c>
      <c r="J1" s="100"/>
      <c r="K1" s="101"/>
    </row>
    <row r="2" spans="1:11" ht="16.5" thickBot="1" x14ac:dyDescent="0.3">
      <c r="A2" s="102" t="s">
        <v>144</v>
      </c>
      <c r="B2" s="103">
        <v>5.0615744683498178</v>
      </c>
      <c r="C2" s="104">
        <v>5</v>
      </c>
      <c r="D2" s="105">
        <v>8</v>
      </c>
      <c r="E2" s="106">
        <v>1</v>
      </c>
      <c r="H2" s="107" t="s">
        <v>153</v>
      </c>
      <c r="I2" s="108" t="s">
        <v>152</v>
      </c>
      <c r="J2" s="109">
        <f>SUM(C28:C30)</f>
        <v>57.162110699151825</v>
      </c>
      <c r="K2" s="110" t="s">
        <v>81</v>
      </c>
    </row>
    <row r="3" spans="1:11" ht="16.5" thickBot="1" x14ac:dyDescent="0.3">
      <c r="A3" s="111" t="s">
        <v>145</v>
      </c>
      <c r="B3" s="112">
        <v>1.1095051006750603</v>
      </c>
      <c r="C3" s="113">
        <v>1</v>
      </c>
      <c r="D3" s="114">
        <v>1.5</v>
      </c>
      <c r="E3" s="91">
        <v>1</v>
      </c>
    </row>
    <row r="4" spans="1:11" ht="16.5" thickBot="1" x14ac:dyDescent="0.3">
      <c r="A4" s="111" t="s">
        <v>146</v>
      </c>
      <c r="B4" s="112">
        <v>0.20192427539764102</v>
      </c>
      <c r="C4" s="113">
        <v>0.2</v>
      </c>
      <c r="D4" s="114">
        <v>2</v>
      </c>
      <c r="E4" s="91">
        <v>1</v>
      </c>
      <c r="H4" s="80" t="s">
        <v>155</v>
      </c>
      <c r="I4" s="87">
        <f>D40-F40</f>
        <v>7.9656303259298085</v>
      </c>
      <c r="J4" s="81" t="s">
        <v>107</v>
      </c>
      <c r="K4" s="82">
        <v>0</v>
      </c>
    </row>
    <row r="5" spans="1:11" ht="16.5" thickBot="1" x14ac:dyDescent="0.3">
      <c r="A5" s="111" t="s">
        <v>147</v>
      </c>
      <c r="B5" s="112">
        <v>0.20247940753418053</v>
      </c>
      <c r="C5" s="113">
        <v>0.2</v>
      </c>
      <c r="D5" s="114">
        <v>2</v>
      </c>
      <c r="E5" s="91">
        <v>1</v>
      </c>
      <c r="H5" s="80" t="s">
        <v>156</v>
      </c>
      <c r="I5" s="92">
        <f>D43</f>
        <v>0.15430899254058561</v>
      </c>
      <c r="J5" s="83" t="s">
        <v>107</v>
      </c>
      <c r="K5" s="91">
        <v>0</v>
      </c>
    </row>
    <row r="6" spans="1:11" ht="16.5" thickBot="1" x14ac:dyDescent="0.3">
      <c r="A6" s="111" t="s">
        <v>148</v>
      </c>
      <c r="B6" s="112">
        <v>0.20840981929929323</v>
      </c>
      <c r="C6" s="113">
        <v>0.2</v>
      </c>
      <c r="D6" s="114">
        <v>2</v>
      </c>
      <c r="E6" s="91">
        <v>1</v>
      </c>
      <c r="H6" s="80" t="s">
        <v>157</v>
      </c>
      <c r="I6" s="88">
        <f>F43-D43</f>
        <v>1.0291284727541294</v>
      </c>
      <c r="J6" s="83" t="s">
        <v>107</v>
      </c>
      <c r="K6" s="84">
        <v>0</v>
      </c>
    </row>
    <row r="7" spans="1:11" ht="16.5" thickBot="1" x14ac:dyDescent="0.3">
      <c r="A7" s="111" t="s">
        <v>149</v>
      </c>
      <c r="B7" s="112">
        <v>0.20003401640187227</v>
      </c>
      <c r="C7" s="113">
        <v>0.2</v>
      </c>
      <c r="D7" s="114">
        <v>2</v>
      </c>
      <c r="E7" s="91">
        <v>1</v>
      </c>
      <c r="H7" s="80" t="s">
        <v>158</v>
      </c>
      <c r="I7" s="88">
        <f>C51-E51</f>
        <v>2.1499167652283546E-3</v>
      </c>
      <c r="J7" s="83" t="s">
        <v>107</v>
      </c>
      <c r="K7" s="84">
        <v>0</v>
      </c>
    </row>
    <row r="8" spans="1:11" ht="16.5" thickBot="1" x14ac:dyDescent="0.3">
      <c r="A8" s="115" t="s">
        <v>150</v>
      </c>
      <c r="B8" s="116">
        <v>6.6897355649348169</v>
      </c>
      <c r="C8" s="117">
        <v>2</v>
      </c>
      <c r="D8" s="118">
        <v>8</v>
      </c>
      <c r="E8" s="119">
        <v>1</v>
      </c>
      <c r="H8" s="90" t="s">
        <v>159</v>
      </c>
      <c r="I8" s="89">
        <f>C73-E73</f>
        <v>3.0402650326581311</v>
      </c>
      <c r="J8" s="85" t="s">
        <v>107</v>
      </c>
      <c r="K8" s="86">
        <v>0</v>
      </c>
    </row>
    <row r="9" spans="1:11" ht="16.5" thickBot="1" x14ac:dyDescent="0.3">
      <c r="A9" s="120"/>
      <c r="B9" s="121"/>
      <c r="C9" s="114"/>
      <c r="D9" s="114"/>
      <c r="E9" s="114"/>
      <c r="H9" s="90" t="s">
        <v>160</v>
      </c>
      <c r="I9" s="94">
        <f>B6-B7</f>
        <v>8.3758028974209586E-3</v>
      </c>
      <c r="J9" s="85" t="s">
        <v>107</v>
      </c>
      <c r="K9" s="86">
        <v>0</v>
      </c>
    </row>
    <row r="10" spans="1:11" ht="16.5" thickBot="1" x14ac:dyDescent="0.3"/>
    <row r="11" spans="1:11" ht="31.5" x14ac:dyDescent="0.25">
      <c r="A11" s="75" t="s">
        <v>57</v>
      </c>
      <c r="B11" s="76">
        <f>B4</f>
        <v>0.20192427539764102</v>
      </c>
      <c r="C11" s="77" t="s">
        <v>58</v>
      </c>
      <c r="D11" s="78"/>
      <c r="E11" s="75" t="s">
        <v>66</v>
      </c>
      <c r="F11" s="76">
        <v>18.100000000000001</v>
      </c>
      <c r="G11" s="77" t="s">
        <v>2</v>
      </c>
      <c r="H11" s="78"/>
      <c r="I11" s="79" t="s">
        <v>154</v>
      </c>
      <c r="J11" s="57"/>
      <c r="K11" s="57"/>
    </row>
    <row r="12" spans="1:11" x14ac:dyDescent="0.25">
      <c r="A12" s="60" t="s">
        <v>59</v>
      </c>
      <c r="B12" s="61">
        <f>B5+B6+B8</f>
        <v>7.1006247917682908</v>
      </c>
      <c r="C12" s="62" t="s">
        <v>58</v>
      </c>
      <c r="D12" s="57"/>
      <c r="E12" s="60" t="s">
        <v>67</v>
      </c>
      <c r="F12" s="61">
        <f>RADIANS(30)</f>
        <v>0.52359877559829882</v>
      </c>
      <c r="G12" s="62" t="s">
        <v>77</v>
      </c>
      <c r="H12" s="57"/>
      <c r="I12" s="59" t="s">
        <v>79</v>
      </c>
      <c r="J12" s="57">
        <f>0.5*F11*(B22^2)*B24</f>
        <v>124.45952884684074</v>
      </c>
      <c r="K12" s="57" t="s">
        <v>81</v>
      </c>
    </row>
    <row r="13" spans="1:11" ht="16.5" thickBot="1" x14ac:dyDescent="0.3">
      <c r="A13" s="60" t="s">
        <v>60</v>
      </c>
      <c r="B13" s="61">
        <f>B4</f>
        <v>0.20192427539764102</v>
      </c>
      <c r="C13" s="62" t="s">
        <v>58</v>
      </c>
      <c r="D13" s="57"/>
      <c r="E13" s="64" t="s">
        <v>68</v>
      </c>
      <c r="F13" s="65">
        <v>0</v>
      </c>
      <c r="G13" s="66"/>
      <c r="H13" s="57"/>
      <c r="I13" s="59" t="s">
        <v>83</v>
      </c>
      <c r="J13" s="57">
        <f>J12*COS(F17)</f>
        <v>122.56870894461531</v>
      </c>
      <c r="K13" s="57" t="s">
        <v>81</v>
      </c>
    </row>
    <row r="14" spans="1:11" x14ac:dyDescent="0.25">
      <c r="A14" s="60" t="s">
        <v>61</v>
      </c>
      <c r="B14" s="61">
        <f>B8</f>
        <v>6.6897355649348169</v>
      </c>
      <c r="C14" s="62" t="s">
        <v>58</v>
      </c>
      <c r="D14" s="57"/>
      <c r="E14" s="54" t="s">
        <v>69</v>
      </c>
      <c r="F14" s="55">
        <v>17.3</v>
      </c>
      <c r="G14" s="56" t="s">
        <v>2</v>
      </c>
      <c r="H14" s="57"/>
      <c r="I14" s="59" t="s">
        <v>82</v>
      </c>
      <c r="J14" s="57">
        <f>J12*SIN(F17)</f>
        <v>21.612170377538643</v>
      </c>
      <c r="K14" s="57" t="s">
        <v>81</v>
      </c>
    </row>
    <row r="15" spans="1:11" x14ac:dyDescent="0.25">
      <c r="A15" s="60" t="s">
        <v>62</v>
      </c>
      <c r="B15" s="61">
        <f>B6</f>
        <v>0.20840981929929323</v>
      </c>
      <c r="C15" s="62" t="s">
        <v>58</v>
      </c>
      <c r="D15" s="57"/>
      <c r="E15" s="60" t="s">
        <v>70</v>
      </c>
      <c r="F15" s="61">
        <f>RADIANS(20)</f>
        <v>0.3490658503988659</v>
      </c>
      <c r="G15" s="62" t="s">
        <v>77</v>
      </c>
      <c r="H15" s="57"/>
      <c r="I15" s="57"/>
      <c r="J15" s="57"/>
      <c r="K15" s="57"/>
    </row>
    <row r="16" spans="1:11" ht="16.5" thickBot="1" x14ac:dyDescent="0.3">
      <c r="A16" s="60" t="s">
        <v>64</v>
      </c>
      <c r="B16" s="61">
        <f>B2-B4</f>
        <v>4.8596501929521772</v>
      </c>
      <c r="C16" s="62" t="s">
        <v>58</v>
      </c>
      <c r="D16" s="57"/>
      <c r="E16" s="64" t="s">
        <v>71</v>
      </c>
      <c r="F16" s="65">
        <v>38.299999999999997</v>
      </c>
      <c r="G16" s="66" t="s">
        <v>73</v>
      </c>
      <c r="H16" s="57"/>
      <c r="I16" s="57"/>
      <c r="J16" s="57"/>
      <c r="K16" s="57"/>
    </row>
    <row r="17" spans="1:11" ht="16.5" thickBot="1" x14ac:dyDescent="0.3">
      <c r="A17" s="60" t="s">
        <v>65</v>
      </c>
      <c r="B17" s="61">
        <f>B7</f>
        <v>0.20003401640187227</v>
      </c>
      <c r="C17" s="62" t="s">
        <v>58</v>
      </c>
      <c r="D17" s="57"/>
      <c r="E17" s="70" t="s">
        <v>76</v>
      </c>
      <c r="F17" s="68">
        <f>RADIANS(10)</f>
        <v>0.17453292519943295</v>
      </c>
      <c r="G17" s="69" t="s">
        <v>77</v>
      </c>
      <c r="H17" s="57"/>
      <c r="I17" s="57"/>
      <c r="J17" s="57"/>
      <c r="K17" s="57"/>
    </row>
    <row r="18" spans="1:11" ht="16.5" thickBot="1" x14ac:dyDescent="0.3">
      <c r="A18" s="64" t="s">
        <v>63</v>
      </c>
      <c r="B18" s="65">
        <f>B5</f>
        <v>0.20247940753418053</v>
      </c>
      <c r="C18" s="66" t="s">
        <v>58</v>
      </c>
      <c r="D18" s="57"/>
      <c r="E18" s="70" t="s">
        <v>84</v>
      </c>
      <c r="F18" s="68">
        <v>23.56</v>
      </c>
      <c r="G18" s="69" t="s">
        <v>2</v>
      </c>
      <c r="H18" s="57"/>
      <c r="I18" s="57"/>
      <c r="J18" s="57"/>
      <c r="K18" s="57"/>
    </row>
    <row r="19" spans="1:11" ht="16.5" thickBot="1" x14ac:dyDescent="0.3">
      <c r="A19" s="57"/>
      <c r="B19" s="57"/>
      <c r="C19" s="57"/>
      <c r="D19" s="57"/>
      <c r="E19" s="70" t="s">
        <v>126</v>
      </c>
      <c r="F19" s="68">
        <v>1.2</v>
      </c>
      <c r="G19" s="69" t="s">
        <v>58</v>
      </c>
      <c r="H19" s="57"/>
      <c r="I19" s="57"/>
      <c r="J19" s="57"/>
      <c r="K19" s="57"/>
    </row>
    <row r="20" spans="1:11" x14ac:dyDescent="0.25">
      <c r="A20" s="54" t="s">
        <v>74</v>
      </c>
      <c r="B20" s="55">
        <v>6</v>
      </c>
      <c r="C20" s="56" t="s">
        <v>58</v>
      </c>
      <c r="D20" s="57"/>
      <c r="E20" s="57"/>
      <c r="F20" s="57"/>
      <c r="G20" s="57"/>
      <c r="H20" s="57"/>
      <c r="I20" s="57"/>
      <c r="J20" s="57"/>
      <c r="K20" s="57"/>
    </row>
    <row r="21" spans="1:11" ht="16.5" thickBot="1" x14ac:dyDescent="0.3">
      <c r="A21" s="64" t="s">
        <v>75</v>
      </c>
      <c r="B21" s="65">
        <f>2.4*TAN(F17)</f>
        <v>0.42318475370031594</v>
      </c>
      <c r="C21" s="66" t="s">
        <v>58</v>
      </c>
      <c r="D21" s="57"/>
      <c r="E21" s="57"/>
      <c r="F21" s="57"/>
      <c r="G21" s="57"/>
      <c r="H21" s="57"/>
      <c r="I21" s="57"/>
      <c r="J21" s="57"/>
      <c r="K21" s="57"/>
    </row>
    <row r="22" spans="1:11" ht="16.5" thickBot="1" x14ac:dyDescent="0.3">
      <c r="A22" s="70" t="s">
        <v>91</v>
      </c>
      <c r="B22" s="68">
        <f>B20+B21</f>
        <v>6.4231847537003155</v>
      </c>
      <c r="C22" s="69" t="s">
        <v>58</v>
      </c>
      <c r="D22" s="57"/>
      <c r="E22" s="57"/>
      <c r="F22" s="57"/>
      <c r="G22" s="57"/>
      <c r="H22" s="57"/>
      <c r="I22" s="57"/>
      <c r="J22" s="57"/>
      <c r="K22" s="57"/>
    </row>
    <row r="23" spans="1:11" x14ac:dyDescent="0.25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</row>
    <row r="24" spans="1:11" ht="16.5" thickBot="1" x14ac:dyDescent="0.3">
      <c r="A24" s="57" t="s">
        <v>80</v>
      </c>
      <c r="B24" s="57">
        <f>TAN(RADIANS(45)-0.5*F12)^2</f>
        <v>0.33333333333333343</v>
      </c>
      <c r="C24" s="57"/>
      <c r="D24" s="57"/>
      <c r="E24" s="57"/>
      <c r="F24" s="57"/>
      <c r="G24" s="57"/>
      <c r="H24" s="57"/>
      <c r="I24" s="57"/>
      <c r="J24" s="57"/>
      <c r="K24" s="57"/>
    </row>
    <row r="25" spans="1:11" x14ac:dyDescent="0.25">
      <c r="A25" s="126" t="s">
        <v>102</v>
      </c>
      <c r="B25" s="127"/>
      <c r="C25" s="127"/>
      <c r="D25" s="127"/>
      <c r="E25" s="129"/>
      <c r="F25" s="57"/>
      <c r="G25" s="57"/>
      <c r="H25" s="57"/>
      <c r="I25" s="57"/>
      <c r="J25" s="57"/>
      <c r="K25" s="57"/>
    </row>
    <row r="26" spans="1:11" x14ac:dyDescent="0.25">
      <c r="A26" s="60"/>
      <c r="B26" s="61" t="s">
        <v>85</v>
      </c>
      <c r="C26" s="61" t="s">
        <v>96</v>
      </c>
      <c r="D26" s="61" t="s">
        <v>92</v>
      </c>
      <c r="E26" s="62" t="s">
        <v>93</v>
      </c>
      <c r="F26" s="57"/>
      <c r="G26" s="57"/>
      <c r="H26" s="57"/>
      <c r="I26" s="57"/>
      <c r="J26" s="57"/>
      <c r="K26" s="57"/>
    </row>
    <row r="27" spans="1:11" x14ac:dyDescent="0.25">
      <c r="A27" s="60"/>
      <c r="B27" s="61" t="s">
        <v>97</v>
      </c>
      <c r="C27" s="61" t="s">
        <v>98</v>
      </c>
      <c r="D27" s="61" t="s">
        <v>95</v>
      </c>
      <c r="E27" s="62" t="s">
        <v>94</v>
      </c>
      <c r="F27" s="57"/>
      <c r="G27" s="57"/>
      <c r="H27" s="57"/>
      <c r="I27" s="57"/>
      <c r="J27" s="57"/>
      <c r="K27" s="57"/>
    </row>
    <row r="28" spans="1:11" x14ac:dyDescent="0.25">
      <c r="A28" s="60" t="s">
        <v>86</v>
      </c>
      <c r="B28" s="61">
        <f>B17*B16</f>
        <v>0.97209534640435757</v>
      </c>
      <c r="C28" s="61">
        <f>B17*B16*F18</f>
        <v>22.902566361286663</v>
      </c>
      <c r="D28" s="61">
        <f>(B18+B18-0.5*B17)</f>
        <v>0.30494180686742495</v>
      </c>
      <c r="E28" s="62">
        <f>C28*D28</f>
        <v>6.9839499681118609</v>
      </c>
      <c r="F28" s="57"/>
      <c r="G28" s="57"/>
      <c r="H28" s="57"/>
      <c r="I28" s="57"/>
      <c r="J28" s="57"/>
      <c r="K28" s="57"/>
    </row>
    <row r="29" spans="1:11" x14ac:dyDescent="0.25">
      <c r="A29" s="60" t="s">
        <v>87</v>
      </c>
      <c r="B29" s="61">
        <f>0.5*B16*(B15-B17)</f>
        <v>2.0351736083290582E-2</v>
      </c>
      <c r="C29" s="61">
        <f>0.5*B16*(B15-B17)*F18</f>
        <v>0.47948690212232609</v>
      </c>
      <c r="D29" s="61">
        <f>(B18+(B15-B17)*2/3)</f>
        <v>0.20806327613246117</v>
      </c>
      <c r="E29" s="62">
        <f t="shared" ref="E29:E33" si="0">C29*D29</f>
        <v>9.9763615718175921E-2</v>
      </c>
      <c r="F29" s="57"/>
      <c r="G29" s="57"/>
      <c r="H29" s="57"/>
      <c r="I29" s="57"/>
      <c r="J29" s="57"/>
      <c r="K29" s="57"/>
    </row>
    <row r="30" spans="1:11" x14ac:dyDescent="0.25">
      <c r="A30" s="60" t="s">
        <v>88</v>
      </c>
      <c r="B30" s="61">
        <f>B11*B12</f>
        <v>1.4337885159483377</v>
      </c>
      <c r="C30" s="61">
        <f>B11*B12*F18</f>
        <v>33.780057435742833</v>
      </c>
      <c r="D30" s="61">
        <f>0.5*B12</f>
        <v>3.5503123958841454</v>
      </c>
      <c r="E30" s="62">
        <f t="shared" si="0"/>
        <v>119.92975664779618</v>
      </c>
      <c r="F30" s="57"/>
      <c r="G30" s="57"/>
      <c r="H30" s="57"/>
      <c r="I30" s="57"/>
      <c r="J30" s="57"/>
      <c r="K30" s="57"/>
    </row>
    <row r="31" spans="1:11" x14ac:dyDescent="0.25">
      <c r="A31" s="60" t="s">
        <v>89</v>
      </c>
      <c r="B31" s="61">
        <f>B21*B14*0.5</f>
        <v>1.4154970486835923</v>
      </c>
      <c r="C31" s="61">
        <f>B21*B14*0.5*F11</f>
        <v>25.620496581173022</v>
      </c>
      <c r="D31" s="61">
        <f>(B18+B15+2*B14/3)</f>
        <v>4.8707129367900182</v>
      </c>
      <c r="E31" s="62">
        <f t="shared" si="0"/>
        <v>124.79008414490387</v>
      </c>
      <c r="F31" s="57"/>
      <c r="G31" s="57"/>
      <c r="H31" s="57"/>
      <c r="I31" s="57"/>
      <c r="J31" s="57"/>
      <c r="K31" s="57"/>
    </row>
    <row r="32" spans="1:11" x14ac:dyDescent="0.25">
      <c r="A32" s="60" t="s">
        <v>90</v>
      </c>
      <c r="B32" s="61">
        <f>B16*B14</f>
        <v>32.509774728934524</v>
      </c>
      <c r="C32" s="61">
        <f>B16*B14*F11</f>
        <v>588.42692259371495</v>
      </c>
      <c r="D32" s="61">
        <f>(B14*0.5+B15+B18)</f>
        <v>3.7557570093008823</v>
      </c>
      <c r="E32" s="62">
        <f t="shared" si="0"/>
        <v>2209.9885389926926</v>
      </c>
      <c r="F32" s="57"/>
      <c r="G32" s="57"/>
      <c r="H32" s="57"/>
      <c r="I32" s="57"/>
      <c r="J32" s="57"/>
      <c r="K32" s="57"/>
    </row>
    <row r="33" spans="1:11" x14ac:dyDescent="0.25">
      <c r="A33" s="60"/>
      <c r="B33" s="61" t="s">
        <v>99</v>
      </c>
      <c r="C33" s="61">
        <f>J14</f>
        <v>21.612170377538643</v>
      </c>
      <c r="D33" s="61">
        <f>B12</f>
        <v>7.1006247917682908</v>
      </c>
      <c r="E33" s="62">
        <f t="shared" si="0"/>
        <v>153.45991278667114</v>
      </c>
      <c r="F33" s="57"/>
      <c r="G33" s="57"/>
      <c r="H33" s="57"/>
      <c r="I33" s="57"/>
      <c r="J33" s="57"/>
      <c r="K33" s="57"/>
    </row>
    <row r="34" spans="1:11" ht="16.5" thickBot="1" x14ac:dyDescent="0.3">
      <c r="A34" s="64"/>
      <c r="B34" s="65" t="s">
        <v>100</v>
      </c>
      <c r="C34" s="65">
        <f>SUM(C28:C33)</f>
        <v>692.82170025157848</v>
      </c>
      <c r="D34" s="65" t="s">
        <v>101</v>
      </c>
      <c r="E34" s="66">
        <f>SUM(E28:E33)</f>
        <v>2615.2520061558939</v>
      </c>
      <c r="F34" s="57"/>
      <c r="G34" s="57"/>
      <c r="H34" s="57"/>
      <c r="I34" s="57"/>
      <c r="J34" s="57"/>
      <c r="K34" s="57"/>
    </row>
    <row r="35" spans="1:11" ht="16.5" thickBot="1" x14ac:dyDescent="0.3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</row>
    <row r="36" spans="1:11" x14ac:dyDescent="0.25">
      <c r="A36" s="126" t="s">
        <v>103</v>
      </c>
      <c r="B36" s="127"/>
      <c r="C36" s="127"/>
      <c r="D36" s="127"/>
      <c r="E36" s="129"/>
      <c r="F36" s="57"/>
      <c r="G36" s="57"/>
      <c r="H36" s="57"/>
      <c r="I36" s="57"/>
      <c r="J36" s="57"/>
      <c r="K36" s="57"/>
    </row>
    <row r="37" spans="1:11" ht="16.5" thickBot="1" x14ac:dyDescent="0.3">
      <c r="A37" s="64"/>
      <c r="B37" s="65" t="s">
        <v>104</v>
      </c>
      <c r="C37" s="65">
        <f>J13*B22/3</f>
        <v>262.42715419126154</v>
      </c>
      <c r="D37" s="65"/>
      <c r="E37" s="66"/>
      <c r="F37" s="57"/>
      <c r="G37" s="57"/>
      <c r="H37" s="57"/>
      <c r="I37" s="57"/>
      <c r="J37" s="57"/>
      <c r="K37" s="57"/>
    </row>
    <row r="38" spans="1:11" ht="16.5" thickBot="1" x14ac:dyDescent="0.3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</row>
    <row r="39" spans="1:11" x14ac:dyDescent="0.25">
      <c r="A39" s="126" t="s">
        <v>105</v>
      </c>
      <c r="B39" s="127"/>
      <c r="C39" s="127"/>
      <c r="D39" s="127"/>
      <c r="E39" s="127"/>
      <c r="F39" s="55"/>
      <c r="G39" s="56"/>
      <c r="H39" s="57"/>
      <c r="I39" s="57"/>
      <c r="J39" s="57"/>
      <c r="K39" s="57"/>
    </row>
    <row r="40" spans="1:11" ht="16.5" thickBot="1" x14ac:dyDescent="0.3">
      <c r="A40" s="64"/>
      <c r="B40" s="93" t="s">
        <v>106</v>
      </c>
      <c r="C40" s="93" t="s">
        <v>32</v>
      </c>
      <c r="D40" s="93">
        <f>E34/C37</f>
        <v>9.9656303259298085</v>
      </c>
      <c r="E40" s="93" t="s">
        <v>107</v>
      </c>
      <c r="F40" s="93">
        <v>2</v>
      </c>
      <c r="G40" s="66" t="s">
        <v>108</v>
      </c>
      <c r="H40" s="57"/>
      <c r="I40" s="57"/>
      <c r="J40" s="57"/>
      <c r="K40" s="57"/>
    </row>
    <row r="41" spans="1:11" ht="16.5" thickBot="1" x14ac:dyDescent="0.3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</row>
    <row r="42" spans="1:11" x14ac:dyDescent="0.25">
      <c r="A42" s="126" t="s">
        <v>109</v>
      </c>
      <c r="B42" s="127"/>
      <c r="C42" s="127"/>
      <c r="D42" s="127"/>
      <c r="E42" s="127"/>
      <c r="F42" s="71"/>
      <c r="G42" s="72"/>
      <c r="H42" s="57"/>
      <c r="I42" s="57"/>
      <c r="J42" s="57"/>
      <c r="K42" s="57"/>
    </row>
    <row r="43" spans="1:11" ht="16.5" thickBot="1" x14ac:dyDescent="0.3">
      <c r="A43" s="64"/>
      <c r="B43" s="65"/>
      <c r="C43" s="93" t="s">
        <v>110</v>
      </c>
      <c r="D43" s="93">
        <f>B12/2 - (E34-C37)/C34</f>
        <v>0.15430899254058561</v>
      </c>
      <c r="E43" s="93" t="s">
        <v>111</v>
      </c>
      <c r="F43" s="93">
        <f>B12/6</f>
        <v>1.1834374652947151</v>
      </c>
      <c r="G43" s="66" t="s">
        <v>108</v>
      </c>
      <c r="H43" s="57"/>
      <c r="I43" s="57"/>
      <c r="J43" s="57"/>
      <c r="K43" s="57"/>
    </row>
    <row r="44" spans="1:11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</row>
    <row r="45" spans="1:11" ht="16.5" thickBot="1" x14ac:dyDescent="0.3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</row>
    <row r="46" spans="1:11" x14ac:dyDescent="0.25">
      <c r="A46" s="126" t="s">
        <v>112</v>
      </c>
      <c r="B46" s="127"/>
      <c r="C46" s="127"/>
      <c r="D46" s="127"/>
      <c r="E46" s="127"/>
      <c r="F46" s="55"/>
      <c r="G46" s="56"/>
      <c r="H46" s="57"/>
      <c r="I46" s="57"/>
      <c r="J46" s="57"/>
      <c r="K46" s="57"/>
    </row>
    <row r="47" spans="1:11" x14ac:dyDescent="0.25">
      <c r="A47" s="60"/>
      <c r="B47" s="61" t="s">
        <v>163</v>
      </c>
      <c r="C47" s="61">
        <f>2*F15/3</f>
        <v>0.23271056693257727</v>
      </c>
      <c r="D47" s="61" t="s">
        <v>32</v>
      </c>
      <c r="E47" s="61">
        <f>RADIANS(C47)</f>
        <v>4.0615655971561141E-3</v>
      </c>
      <c r="F47" s="61" t="s">
        <v>115</v>
      </c>
      <c r="G47" s="62"/>
      <c r="H47" s="57"/>
      <c r="I47" s="57"/>
      <c r="J47" s="57"/>
      <c r="K47" s="57"/>
    </row>
    <row r="48" spans="1:11" x14ac:dyDescent="0.25">
      <c r="A48" s="60"/>
      <c r="B48" s="61" t="s">
        <v>116</v>
      </c>
      <c r="C48" s="61">
        <f>2*F16/3</f>
        <v>25.533333333333331</v>
      </c>
      <c r="D48" s="61" t="s">
        <v>117</v>
      </c>
      <c r="E48" s="61"/>
      <c r="F48" s="61"/>
      <c r="G48" s="62"/>
      <c r="H48" s="57"/>
      <c r="I48" s="57"/>
      <c r="J48" s="57"/>
      <c r="K48" s="57"/>
    </row>
    <row r="49" spans="1:11" x14ac:dyDescent="0.25">
      <c r="A49" s="60"/>
      <c r="B49" s="61" t="s">
        <v>113</v>
      </c>
      <c r="C49" s="61">
        <f>C34*TAN(E47)+B12*C48</f>
        <v>184.11657593917539</v>
      </c>
      <c r="D49" s="61"/>
      <c r="E49" s="61"/>
      <c r="F49" s="61"/>
      <c r="G49" s="62"/>
      <c r="H49" s="57"/>
      <c r="I49" s="57"/>
      <c r="J49" s="57"/>
      <c r="K49" s="57"/>
    </row>
    <row r="50" spans="1:11" x14ac:dyDescent="0.25">
      <c r="A50" s="60"/>
      <c r="B50" s="61" t="s">
        <v>118</v>
      </c>
      <c r="C50" s="61">
        <f>J13</f>
        <v>122.56870894461531</v>
      </c>
      <c r="D50" s="61"/>
      <c r="E50" s="61"/>
      <c r="F50" s="61"/>
      <c r="G50" s="62"/>
      <c r="H50" s="57"/>
      <c r="I50" s="57"/>
      <c r="J50" s="57"/>
      <c r="K50" s="57"/>
    </row>
    <row r="51" spans="1:11" ht="16.5" thickBot="1" x14ac:dyDescent="0.3">
      <c r="A51" s="64"/>
      <c r="B51" s="93" t="s">
        <v>119</v>
      </c>
      <c r="C51" s="93">
        <f>C49/C50</f>
        <v>1.5021499167652284</v>
      </c>
      <c r="D51" s="93" t="s">
        <v>107</v>
      </c>
      <c r="E51" s="93">
        <v>1.5</v>
      </c>
      <c r="F51" s="65"/>
      <c r="G51" s="66"/>
      <c r="H51" s="57"/>
      <c r="I51" s="57"/>
      <c r="J51" s="57"/>
      <c r="K51" s="57"/>
    </row>
    <row r="52" spans="1:11" ht="16.5" thickBot="1" x14ac:dyDescent="0.3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</row>
    <row r="53" spans="1:11" x14ac:dyDescent="0.25">
      <c r="A53" s="126" t="s">
        <v>140</v>
      </c>
      <c r="B53" s="127"/>
      <c r="C53" s="127"/>
      <c r="D53" s="127"/>
      <c r="E53" s="127"/>
      <c r="F53" s="55"/>
      <c r="G53" s="56"/>
      <c r="H53" s="57"/>
      <c r="I53" s="57"/>
      <c r="J53" s="57"/>
      <c r="K53" s="57"/>
    </row>
    <row r="54" spans="1:11" x14ac:dyDescent="0.25">
      <c r="A54" s="60"/>
      <c r="B54" s="61" t="s">
        <v>120</v>
      </c>
      <c r="C54" s="61">
        <f>(C34/B12)*(1+6*D43/B12)</f>
        <v>110.29438748110182</v>
      </c>
      <c r="D54" s="61" t="s">
        <v>117</v>
      </c>
      <c r="E54" s="61"/>
      <c r="F54" s="61"/>
      <c r="G54" s="62"/>
      <c r="H54" s="57"/>
      <c r="I54" s="57"/>
      <c r="J54" s="57"/>
      <c r="K54" s="57"/>
    </row>
    <row r="55" spans="1:11" x14ac:dyDescent="0.25">
      <c r="A55" s="60"/>
      <c r="B55" s="61" t="s">
        <v>121</v>
      </c>
      <c r="C55" s="61">
        <f>(C34/B12)*(1-6*D43/B12)</f>
        <v>84.849482408985111</v>
      </c>
      <c r="D55" s="61" t="s">
        <v>117</v>
      </c>
      <c r="E55" s="61"/>
      <c r="F55" s="61"/>
      <c r="G55" s="62"/>
      <c r="H55" s="57"/>
      <c r="I55" s="57"/>
      <c r="J55" s="57"/>
      <c r="K55" s="57"/>
    </row>
    <row r="56" spans="1:11" x14ac:dyDescent="0.25">
      <c r="A56" s="60"/>
      <c r="B56" s="61"/>
      <c r="C56" s="61"/>
      <c r="D56" s="61"/>
      <c r="E56" s="61"/>
      <c r="F56" s="61"/>
      <c r="G56" s="62"/>
      <c r="H56" s="57"/>
      <c r="I56" s="57"/>
      <c r="J56" s="57"/>
      <c r="K56" s="57"/>
    </row>
    <row r="57" spans="1:11" x14ac:dyDescent="0.25">
      <c r="A57" s="60"/>
      <c r="B57" s="61" t="s">
        <v>122</v>
      </c>
      <c r="C57" s="61">
        <v>14.83</v>
      </c>
      <c r="D57" s="61"/>
      <c r="E57" s="61"/>
      <c r="F57" s="61"/>
      <c r="G57" s="62"/>
      <c r="H57" s="57"/>
      <c r="I57" s="57"/>
      <c r="J57" s="57"/>
      <c r="K57" s="57"/>
    </row>
    <row r="58" spans="1:11" x14ac:dyDescent="0.25">
      <c r="A58" s="60"/>
      <c r="B58" s="61" t="s">
        <v>123</v>
      </c>
      <c r="C58" s="61">
        <v>6.4</v>
      </c>
      <c r="D58" s="61"/>
      <c r="E58" s="61"/>
      <c r="F58" s="61"/>
      <c r="G58" s="62"/>
      <c r="H58" s="57"/>
      <c r="I58" s="57"/>
      <c r="J58" s="57"/>
      <c r="K58" s="57"/>
    </row>
    <row r="59" spans="1:11" x14ac:dyDescent="0.25">
      <c r="A59" s="60"/>
      <c r="B59" s="61" t="s">
        <v>161</v>
      </c>
      <c r="C59" s="61">
        <v>5.39</v>
      </c>
      <c r="D59" s="61"/>
      <c r="E59" s="61"/>
      <c r="F59" s="61"/>
      <c r="G59" s="62"/>
      <c r="H59" s="57"/>
      <c r="I59" s="57"/>
      <c r="J59" s="57"/>
      <c r="K59" s="57"/>
    </row>
    <row r="60" spans="1:11" x14ac:dyDescent="0.25">
      <c r="A60" s="60"/>
      <c r="B60" s="61" t="s">
        <v>125</v>
      </c>
      <c r="C60" s="61">
        <f>F14*F19</f>
        <v>20.76</v>
      </c>
      <c r="D60" s="61" t="s">
        <v>117</v>
      </c>
      <c r="E60" s="61"/>
      <c r="F60" s="61"/>
      <c r="G60" s="62"/>
      <c r="H60" s="57"/>
      <c r="I60" s="57"/>
      <c r="J60" s="57"/>
      <c r="K60" s="57"/>
    </row>
    <row r="61" spans="1:11" x14ac:dyDescent="0.25">
      <c r="A61" s="60"/>
      <c r="B61" s="61" t="s">
        <v>127</v>
      </c>
      <c r="C61" s="61">
        <f>B12-2*D43</f>
        <v>6.7920068066871195</v>
      </c>
      <c r="D61" s="61" t="s">
        <v>58</v>
      </c>
      <c r="E61" s="61"/>
      <c r="F61" s="61"/>
      <c r="G61" s="62"/>
      <c r="H61" s="57"/>
      <c r="I61" s="57"/>
      <c r="J61" s="57"/>
      <c r="K61" s="57"/>
    </row>
    <row r="62" spans="1:11" x14ac:dyDescent="0.25">
      <c r="A62" s="60"/>
      <c r="B62" s="61"/>
      <c r="C62" s="61"/>
      <c r="D62" s="61"/>
      <c r="E62" s="61"/>
      <c r="F62" s="61"/>
      <c r="G62" s="62"/>
      <c r="H62" s="57"/>
      <c r="I62" s="57"/>
      <c r="J62" s="57"/>
      <c r="K62" s="57"/>
    </row>
    <row r="63" spans="1:11" x14ac:dyDescent="0.25">
      <c r="A63" s="60"/>
      <c r="B63" s="61" t="s">
        <v>128</v>
      </c>
      <c r="C63" s="61">
        <f>1+2*TAN(F15*(1-SIN(F15))^2)*F19/C61</f>
        <v>1.0538108205464833</v>
      </c>
      <c r="D63" s="61"/>
      <c r="E63" s="61"/>
      <c r="F63" s="61"/>
      <c r="G63" s="62"/>
      <c r="H63" s="57"/>
      <c r="I63" s="57"/>
      <c r="J63" s="57"/>
      <c r="K63" s="57"/>
    </row>
    <row r="64" spans="1:11" x14ac:dyDescent="0.25">
      <c r="A64" s="60"/>
      <c r="B64" s="61" t="s">
        <v>129</v>
      </c>
      <c r="C64" s="61">
        <f>C63-(1-C63)/(C57*TAN(F15))</f>
        <v>1.0637800730329154</v>
      </c>
      <c r="D64" s="61"/>
      <c r="E64" s="61"/>
      <c r="F64" s="61"/>
      <c r="G64" s="62"/>
      <c r="H64" s="57"/>
      <c r="I64" s="57"/>
      <c r="J64" s="57"/>
      <c r="K64" s="57"/>
    </row>
    <row r="65" spans="1:11" x14ac:dyDescent="0.25">
      <c r="A65" s="60"/>
      <c r="B65" s="61" t="s">
        <v>162</v>
      </c>
      <c r="C65" s="61">
        <v>1</v>
      </c>
      <c r="D65" s="61"/>
      <c r="E65" s="61"/>
      <c r="F65" s="61"/>
      <c r="G65" s="62"/>
      <c r="H65" s="57"/>
      <c r="I65" s="57"/>
      <c r="J65" s="57"/>
      <c r="K65" s="57"/>
    </row>
    <row r="66" spans="1:11" x14ac:dyDescent="0.25">
      <c r="A66" s="60"/>
      <c r="B66" s="61"/>
      <c r="C66" s="61"/>
      <c r="D66" s="61"/>
      <c r="E66" s="61"/>
      <c r="F66" s="61"/>
      <c r="G66" s="62"/>
      <c r="H66" s="57"/>
      <c r="I66" s="57"/>
      <c r="J66" s="57"/>
      <c r="K66" s="57"/>
    </row>
    <row r="67" spans="1:11" x14ac:dyDescent="0.25">
      <c r="A67" s="60"/>
      <c r="B67" s="61" t="s">
        <v>131</v>
      </c>
      <c r="C67" s="61">
        <f>ATAN(J13/C34)</f>
        <v>0.17510057791448705</v>
      </c>
      <c r="D67" s="61" t="s">
        <v>32</v>
      </c>
      <c r="E67" s="61">
        <f>DEGREES(C67)</f>
        <v>10.032524104801743</v>
      </c>
      <c r="F67" s="61" t="s">
        <v>72</v>
      </c>
      <c r="G67" s="62"/>
      <c r="H67" s="57"/>
      <c r="I67" s="57"/>
      <c r="J67" s="57"/>
      <c r="K67" s="57"/>
    </row>
    <row r="68" spans="1:11" x14ac:dyDescent="0.25">
      <c r="A68" s="60"/>
      <c r="B68" s="61" t="s">
        <v>132</v>
      </c>
      <c r="C68" s="61" t="s">
        <v>32</v>
      </c>
      <c r="D68" s="61" t="s">
        <v>133</v>
      </c>
      <c r="E68" s="61">
        <f>(1-E67/90)^2</f>
        <v>0.78948113593198943</v>
      </c>
      <c r="F68" s="61"/>
      <c r="G68" s="62"/>
      <c r="H68" s="57"/>
      <c r="I68" s="57"/>
      <c r="J68" s="57"/>
      <c r="K68" s="57"/>
    </row>
    <row r="69" spans="1:11" x14ac:dyDescent="0.25">
      <c r="A69" s="60"/>
      <c r="B69" s="61" t="s">
        <v>134</v>
      </c>
      <c r="C69" s="61">
        <f>(1-C67/F15)^2</f>
        <v>0.24837643930339573</v>
      </c>
      <c r="D69" s="61"/>
      <c r="E69" s="61"/>
      <c r="F69" s="61"/>
      <c r="G69" s="62"/>
      <c r="H69" s="57"/>
      <c r="I69" s="57"/>
      <c r="J69" s="57"/>
      <c r="K69" s="57"/>
    </row>
    <row r="70" spans="1:11" x14ac:dyDescent="0.25">
      <c r="A70" s="60"/>
      <c r="B70" s="61"/>
      <c r="C70" s="61" t="s">
        <v>136</v>
      </c>
      <c r="D70" s="61" t="s">
        <v>137</v>
      </c>
      <c r="E70" s="61" t="s">
        <v>138</v>
      </c>
      <c r="F70" s="61"/>
      <c r="G70" s="62"/>
      <c r="H70" s="57"/>
      <c r="I70" s="57"/>
      <c r="J70" s="57"/>
      <c r="K70" s="57"/>
    </row>
    <row r="71" spans="1:11" x14ac:dyDescent="0.25">
      <c r="A71" s="60"/>
      <c r="B71" s="61" t="s">
        <v>135</v>
      </c>
      <c r="C71" s="61">
        <f>F16*C57*C64*E68</f>
        <v>477.01664447252466</v>
      </c>
      <c r="D71" s="61">
        <f>C60*C58*C63*E68</f>
        <v>110.53803349524901</v>
      </c>
      <c r="E71" s="61">
        <f>0.5*F14*C61*C59*C65*C69</f>
        <v>78.652654032772503</v>
      </c>
      <c r="F71" s="61" t="s">
        <v>32</v>
      </c>
      <c r="G71" s="62">
        <f>SUM(C71:E71)</f>
        <v>666.2073320005461</v>
      </c>
      <c r="H71" s="57"/>
      <c r="I71" s="57"/>
      <c r="J71" s="57"/>
      <c r="K71" s="57"/>
    </row>
    <row r="72" spans="1:11" x14ac:dyDescent="0.25">
      <c r="A72" s="60"/>
      <c r="B72" s="61"/>
      <c r="C72" s="61"/>
      <c r="D72" s="61"/>
      <c r="E72" s="61"/>
      <c r="F72" s="61"/>
      <c r="G72" s="62"/>
      <c r="H72" s="57"/>
      <c r="I72" s="57"/>
      <c r="J72" s="57"/>
      <c r="K72" s="57"/>
    </row>
    <row r="73" spans="1:11" ht="16.5" thickBot="1" x14ac:dyDescent="0.3">
      <c r="A73" s="64"/>
      <c r="B73" s="93" t="s">
        <v>139</v>
      </c>
      <c r="C73" s="93">
        <f>G71/C54</f>
        <v>6.0402650326581311</v>
      </c>
      <c r="D73" s="93" t="s">
        <v>107</v>
      </c>
      <c r="E73" s="93">
        <v>3</v>
      </c>
      <c r="F73" s="65"/>
      <c r="G73" s="66"/>
      <c r="H73" s="57"/>
      <c r="I73" s="57"/>
      <c r="J73" s="57"/>
      <c r="K73" s="57"/>
    </row>
    <row r="74" spans="1:11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</row>
    <row r="75" spans="1:11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</row>
    <row r="76" spans="1:11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</row>
    <row r="77" spans="1:11" x14ac:dyDescent="0.25">
      <c r="A77" s="95" t="s">
        <v>141</v>
      </c>
      <c r="B77" s="128" t="s">
        <v>142</v>
      </c>
      <c r="C77" s="128"/>
      <c r="D77" s="128"/>
      <c r="E77" s="57"/>
      <c r="F77" s="57"/>
      <c r="G77" s="57"/>
      <c r="H77" s="57"/>
      <c r="I77" s="57"/>
      <c r="J77" s="57"/>
      <c r="K77" s="57"/>
    </row>
    <row r="78" spans="1:11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</row>
    <row r="79" spans="1:11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</row>
  </sheetData>
  <mergeCells count="8">
    <mergeCell ref="B77:D77"/>
    <mergeCell ref="A1:B1"/>
    <mergeCell ref="A25:E25"/>
    <mergeCell ref="A36:E36"/>
    <mergeCell ref="A39:E39"/>
    <mergeCell ref="A42:E42"/>
    <mergeCell ref="A46:E46"/>
    <mergeCell ref="A53:E53"/>
  </mergeCells>
  <pageMargins left="0.7" right="0.7" top="0.75" bottom="0.75" header="0.3" footer="0.3"/>
  <pageSetup orientation="portrait" r:id="rId1"/>
  <ignoredErrors>
    <ignoredError sqref="B1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67"/>
  <sheetViews>
    <sheetView topLeftCell="A22" zoomScale="175" zoomScaleNormal="175" workbookViewId="0">
      <selection activeCell="B42" sqref="B42"/>
    </sheetView>
  </sheetViews>
  <sheetFormatPr defaultColWidth="8.7109375" defaultRowHeight="15.75" x14ac:dyDescent="0.25"/>
  <cols>
    <col min="1" max="1" width="6.7109375" style="57" bestFit="1" customWidth="1"/>
    <col min="2" max="2" width="15.140625" style="57" bestFit="1" customWidth="1"/>
    <col min="3" max="3" width="18.42578125" style="57" bestFit="1" customWidth="1"/>
    <col min="4" max="4" width="22" style="57" bestFit="1" customWidth="1"/>
    <col min="5" max="5" width="12.85546875" style="57" bestFit="1" customWidth="1"/>
    <col min="6" max="6" width="9.42578125" style="57" customWidth="1"/>
    <col min="7" max="8" width="8.7109375" style="57"/>
    <col min="9" max="9" width="45" style="57" bestFit="1" customWidth="1"/>
    <col min="10" max="10" width="9.140625" style="57" customWidth="1"/>
    <col min="11" max="11" width="9.42578125" style="57" customWidth="1"/>
    <col min="12" max="12" width="22" style="57" bestFit="1" customWidth="1"/>
    <col min="13" max="13" width="17.42578125" style="57" bestFit="1" customWidth="1"/>
    <col min="14" max="16384" width="8.7109375" style="57"/>
  </cols>
  <sheetData>
    <row r="1" spans="1:11" x14ac:dyDescent="0.25">
      <c r="A1" s="54" t="s">
        <v>57</v>
      </c>
      <c r="B1" s="122">
        <v>0.6</v>
      </c>
      <c r="C1" s="56" t="s">
        <v>58</v>
      </c>
      <c r="E1" s="58" t="s">
        <v>66</v>
      </c>
      <c r="F1" s="55">
        <v>18.100000000000001</v>
      </c>
      <c r="G1" s="56" t="s">
        <v>2</v>
      </c>
      <c r="I1" s="59" t="s">
        <v>78</v>
      </c>
    </row>
    <row r="2" spans="1:11" x14ac:dyDescent="0.25">
      <c r="A2" s="60" t="s">
        <v>59</v>
      </c>
      <c r="B2" s="123">
        <f>0.6*6</f>
        <v>3.5999999999999996</v>
      </c>
      <c r="C2" s="62" t="s">
        <v>58</v>
      </c>
      <c r="E2" s="63" t="s">
        <v>67</v>
      </c>
      <c r="F2" s="61">
        <f>RADIANS(30)</f>
        <v>0.52359877559829882</v>
      </c>
      <c r="G2" s="62" t="s">
        <v>77</v>
      </c>
      <c r="I2" s="59" t="s">
        <v>79</v>
      </c>
      <c r="J2" s="57">
        <f>0.5*F1*(B12^2)*B14</f>
        <v>124.45952884684074</v>
      </c>
      <c r="K2" s="57" t="s">
        <v>81</v>
      </c>
    </row>
    <row r="3" spans="1:11" ht="16.5" thickBot="1" x14ac:dyDescent="0.3">
      <c r="A3" s="60" t="s">
        <v>60</v>
      </c>
      <c r="B3" s="123">
        <f>B1</f>
        <v>0.6</v>
      </c>
      <c r="C3" s="62" t="s">
        <v>58</v>
      </c>
      <c r="E3" s="64" t="s">
        <v>68</v>
      </c>
      <c r="F3" s="65">
        <v>0</v>
      </c>
      <c r="G3" s="66"/>
      <c r="I3" s="59" t="s">
        <v>83</v>
      </c>
      <c r="J3" s="57">
        <f>J2*COS(F7)</f>
        <v>122.56870894461531</v>
      </c>
      <c r="K3" s="57" t="s">
        <v>81</v>
      </c>
    </row>
    <row r="4" spans="1:11" x14ac:dyDescent="0.25">
      <c r="A4" s="60" t="s">
        <v>61</v>
      </c>
      <c r="B4" s="123">
        <f>0.4*6</f>
        <v>2.4000000000000004</v>
      </c>
      <c r="C4" s="62" t="s">
        <v>58</v>
      </c>
      <c r="E4" s="58" t="s">
        <v>69</v>
      </c>
      <c r="F4" s="55">
        <v>17.3</v>
      </c>
      <c r="G4" s="56" t="s">
        <v>2</v>
      </c>
      <c r="I4" s="59" t="s">
        <v>82</v>
      </c>
      <c r="J4" s="57">
        <f>J2*SIN(F7)</f>
        <v>21.612170377538643</v>
      </c>
      <c r="K4" s="57" t="s">
        <v>81</v>
      </c>
    </row>
    <row r="5" spans="1:11" x14ac:dyDescent="0.25">
      <c r="A5" s="60" t="s">
        <v>62</v>
      </c>
      <c r="B5" s="123">
        <f>0.1*6</f>
        <v>0.60000000000000009</v>
      </c>
      <c r="C5" s="62" t="s">
        <v>58</v>
      </c>
      <c r="E5" s="63" t="s">
        <v>70</v>
      </c>
      <c r="F5" s="61">
        <f>RADIANS(20)</f>
        <v>0.3490658503988659</v>
      </c>
      <c r="G5" s="62" t="s">
        <v>77</v>
      </c>
    </row>
    <row r="6" spans="1:11" ht="16.5" thickBot="1" x14ac:dyDescent="0.3">
      <c r="A6" s="60" t="s">
        <v>64</v>
      </c>
      <c r="B6" s="123">
        <f>0.9*6</f>
        <v>5.4</v>
      </c>
      <c r="C6" s="62" t="s">
        <v>58</v>
      </c>
      <c r="E6" s="64" t="s">
        <v>71</v>
      </c>
      <c r="F6" s="65">
        <v>38.299999999999997</v>
      </c>
      <c r="G6" s="66" t="s">
        <v>73</v>
      </c>
    </row>
    <row r="7" spans="1:11" ht="16.5" thickBot="1" x14ac:dyDescent="0.3">
      <c r="A7" s="60" t="s">
        <v>65</v>
      </c>
      <c r="B7" s="123">
        <v>0.3</v>
      </c>
      <c r="C7" s="62" t="s">
        <v>58</v>
      </c>
      <c r="E7" s="67" t="s">
        <v>76</v>
      </c>
      <c r="F7" s="68">
        <f>RADIANS(10)</f>
        <v>0.17453292519943295</v>
      </c>
      <c r="G7" s="69" t="s">
        <v>77</v>
      </c>
    </row>
    <row r="8" spans="1:11" ht="16.5" thickBot="1" x14ac:dyDescent="0.3">
      <c r="A8" s="64" t="s">
        <v>63</v>
      </c>
      <c r="B8" s="65">
        <f>0.1*6</f>
        <v>0.60000000000000009</v>
      </c>
      <c r="C8" s="66" t="s">
        <v>58</v>
      </c>
      <c r="E8" s="67" t="s">
        <v>84</v>
      </c>
      <c r="F8" s="68">
        <v>23.56</v>
      </c>
      <c r="G8" s="69" t="s">
        <v>2</v>
      </c>
    </row>
    <row r="9" spans="1:11" ht="15.95" thickBot="1" x14ac:dyDescent="0.4">
      <c r="E9" s="70" t="s">
        <v>126</v>
      </c>
      <c r="F9" s="68">
        <v>1.2</v>
      </c>
      <c r="G9" s="69" t="s">
        <v>58</v>
      </c>
    </row>
    <row r="10" spans="1:11" ht="15.6" x14ac:dyDescent="0.35">
      <c r="A10" s="54" t="s">
        <v>74</v>
      </c>
      <c r="B10" s="55">
        <v>6</v>
      </c>
      <c r="C10" s="56" t="s">
        <v>58</v>
      </c>
    </row>
    <row r="11" spans="1:11" ht="15.95" thickBot="1" x14ac:dyDescent="0.4">
      <c r="A11" s="64" t="s">
        <v>75</v>
      </c>
      <c r="B11" s="65">
        <f>2.4*TAN(F7)</f>
        <v>0.42318475370031594</v>
      </c>
      <c r="C11" s="66" t="s">
        <v>58</v>
      </c>
    </row>
    <row r="12" spans="1:11" ht="15.95" thickBot="1" x14ac:dyDescent="0.4">
      <c r="A12" s="70" t="s">
        <v>91</v>
      </c>
      <c r="B12" s="68">
        <f>B10+B11</f>
        <v>6.4231847537003155</v>
      </c>
      <c r="C12" s="69" t="s">
        <v>58</v>
      </c>
    </row>
    <row r="14" spans="1:11" ht="15.95" thickBot="1" x14ac:dyDescent="0.4">
      <c r="A14" s="57" t="s">
        <v>80</v>
      </c>
      <c r="B14" s="57">
        <f>TAN(RADIANS(45)-0.5*F2)^2</f>
        <v>0.33333333333333343</v>
      </c>
    </row>
    <row r="15" spans="1:11" ht="15.6" x14ac:dyDescent="0.35">
      <c r="A15" s="126" t="s">
        <v>102</v>
      </c>
      <c r="B15" s="127"/>
      <c r="C15" s="127"/>
      <c r="D15" s="127"/>
      <c r="E15" s="129"/>
    </row>
    <row r="16" spans="1:11" ht="15.6" x14ac:dyDescent="0.35">
      <c r="A16" s="60"/>
      <c r="B16" s="61" t="s">
        <v>85</v>
      </c>
      <c r="C16" s="61" t="s">
        <v>96</v>
      </c>
      <c r="D16" s="61" t="s">
        <v>92</v>
      </c>
      <c r="E16" s="62" t="s">
        <v>93</v>
      </c>
    </row>
    <row r="17" spans="1:7" ht="15.6" x14ac:dyDescent="0.35">
      <c r="A17" s="60"/>
      <c r="B17" s="61" t="s">
        <v>97</v>
      </c>
      <c r="C17" s="61" t="s">
        <v>98</v>
      </c>
      <c r="D17" s="61" t="s">
        <v>95</v>
      </c>
      <c r="E17" s="62" t="s">
        <v>94</v>
      </c>
    </row>
    <row r="18" spans="1:7" ht="15.6" x14ac:dyDescent="0.35">
      <c r="A18" s="60" t="s">
        <v>86</v>
      </c>
      <c r="B18" s="61">
        <f>B7*B6</f>
        <v>1.62</v>
      </c>
      <c r="C18" s="61">
        <f>B7*B6*F8</f>
        <v>38.167200000000001</v>
      </c>
      <c r="D18" s="61">
        <f>(B8+B8-0.5*B7)</f>
        <v>1.0500000000000003</v>
      </c>
      <c r="E18" s="62">
        <f>C18*D18</f>
        <v>40.07556000000001</v>
      </c>
    </row>
    <row r="19" spans="1:7" ht="15.6" x14ac:dyDescent="0.35">
      <c r="A19" s="60" t="s">
        <v>87</v>
      </c>
      <c r="B19" s="61">
        <f>0.5*B6*(B5-B7)</f>
        <v>0.81000000000000028</v>
      </c>
      <c r="C19" s="61">
        <f>0.5*B6*(B5-B7)*F8</f>
        <v>19.083600000000004</v>
      </c>
      <c r="D19" s="61">
        <f>(B8+(B5-B7)*2/3)</f>
        <v>0.80000000000000016</v>
      </c>
      <c r="E19" s="62">
        <f t="shared" ref="E19:E23" si="0">C19*D19</f>
        <v>15.266880000000006</v>
      </c>
    </row>
    <row r="20" spans="1:7" ht="15.6" x14ac:dyDescent="0.35">
      <c r="A20" s="60" t="s">
        <v>88</v>
      </c>
      <c r="B20" s="61">
        <f>B1*B2</f>
        <v>2.1599999999999997</v>
      </c>
      <c r="C20" s="61">
        <f>B1*B2*F8</f>
        <v>50.889599999999987</v>
      </c>
      <c r="D20" s="61">
        <f>0.5*B2</f>
        <v>1.7999999999999998</v>
      </c>
      <c r="E20" s="62">
        <f t="shared" si="0"/>
        <v>91.601279999999974</v>
      </c>
    </row>
    <row r="21" spans="1:7" ht="15.6" x14ac:dyDescent="0.35">
      <c r="A21" s="60" t="s">
        <v>89</v>
      </c>
      <c r="B21" s="61">
        <f>B11*B4*0.5</f>
        <v>0.50782170444037922</v>
      </c>
      <c r="C21" s="61">
        <f>B11*B4*0.5*F1</f>
        <v>9.1915728503708642</v>
      </c>
      <c r="D21" s="61">
        <f>(B8+B5+2*B4/3)</f>
        <v>2.8000000000000007</v>
      </c>
      <c r="E21" s="62">
        <f t="shared" si="0"/>
        <v>25.736403981038425</v>
      </c>
    </row>
    <row r="22" spans="1:7" ht="15.6" x14ac:dyDescent="0.35">
      <c r="A22" s="60" t="s">
        <v>90</v>
      </c>
      <c r="B22" s="61">
        <f>B6*B4</f>
        <v>12.960000000000003</v>
      </c>
      <c r="C22" s="61">
        <f>B6*B4*F1</f>
        <v>234.57600000000008</v>
      </c>
      <c r="D22" s="61">
        <f>(B4*0.5+B5+B8)</f>
        <v>2.4000000000000004</v>
      </c>
      <c r="E22" s="62">
        <f t="shared" si="0"/>
        <v>562.98240000000033</v>
      </c>
    </row>
    <row r="23" spans="1:7" ht="15.6" x14ac:dyDescent="0.35">
      <c r="A23" s="60"/>
      <c r="B23" s="61" t="s">
        <v>99</v>
      </c>
      <c r="C23" s="61">
        <f>J4</f>
        <v>21.612170377538643</v>
      </c>
      <c r="D23" s="61">
        <f>B2</f>
        <v>3.5999999999999996</v>
      </c>
      <c r="E23" s="62">
        <f t="shared" si="0"/>
        <v>77.803813359139113</v>
      </c>
    </row>
    <row r="24" spans="1:7" ht="15.95" thickBot="1" x14ac:dyDescent="0.4">
      <c r="A24" s="64"/>
      <c r="B24" s="65" t="s">
        <v>100</v>
      </c>
      <c r="C24" s="65">
        <f>SUM(C18:C23)</f>
        <v>373.52014322790956</v>
      </c>
      <c r="D24" s="65" t="s">
        <v>101</v>
      </c>
      <c r="E24" s="66">
        <f>SUM(E18:E23)</f>
        <v>813.4663373401778</v>
      </c>
    </row>
    <row r="25" spans="1:7" ht="15.95" thickBot="1" x14ac:dyDescent="0.4"/>
    <row r="26" spans="1:7" ht="15.6" x14ac:dyDescent="0.35">
      <c r="A26" s="126" t="s">
        <v>103</v>
      </c>
      <c r="B26" s="127"/>
      <c r="C26" s="127"/>
      <c r="D26" s="127"/>
      <c r="E26" s="129"/>
    </row>
    <row r="27" spans="1:7" ht="15.95" thickBot="1" x14ac:dyDescent="0.4">
      <c r="A27" s="64"/>
      <c r="B27" s="65" t="s">
        <v>104</v>
      </c>
      <c r="C27" s="65">
        <f>J3*B12/3</f>
        <v>262.42715419126154</v>
      </c>
      <c r="D27" s="65"/>
      <c r="E27" s="66"/>
    </row>
    <row r="28" spans="1:7" ht="16.5" thickBot="1" x14ac:dyDescent="0.3"/>
    <row r="29" spans="1:7" x14ac:dyDescent="0.25">
      <c r="A29" s="126" t="s">
        <v>105</v>
      </c>
      <c r="B29" s="127"/>
      <c r="C29" s="127"/>
      <c r="D29" s="127"/>
      <c r="E29" s="127"/>
      <c r="F29" s="55"/>
      <c r="G29" s="56"/>
    </row>
    <row r="30" spans="1:7" ht="16.5" thickBot="1" x14ac:dyDescent="0.3">
      <c r="A30" s="64"/>
      <c r="B30" s="65" t="s">
        <v>106</v>
      </c>
      <c r="C30" s="65" t="s">
        <v>32</v>
      </c>
      <c r="D30" s="65">
        <f>E24/C27</f>
        <v>3.0997795934917209</v>
      </c>
      <c r="E30" s="65" t="s">
        <v>107</v>
      </c>
      <c r="F30" s="65">
        <v>2</v>
      </c>
      <c r="G30" s="66" t="s">
        <v>108</v>
      </c>
    </row>
    <row r="31" spans="1:7" ht="16.5" thickBot="1" x14ac:dyDescent="0.3"/>
    <row r="32" spans="1:7" x14ac:dyDescent="0.25">
      <c r="A32" s="126" t="s">
        <v>109</v>
      </c>
      <c r="B32" s="127"/>
      <c r="C32" s="127"/>
      <c r="D32" s="127"/>
      <c r="E32" s="127"/>
      <c r="F32" s="71"/>
      <c r="G32" s="72"/>
    </row>
    <row r="33" spans="1:7" ht="16.5" thickBot="1" x14ac:dyDescent="0.3">
      <c r="A33" s="64"/>
      <c r="B33" s="65"/>
      <c r="C33" s="65" t="s">
        <v>110</v>
      </c>
      <c r="D33" s="65">
        <f>B2/2 - (E24-C27)/C24</f>
        <v>0.32474038377980996</v>
      </c>
      <c r="E33" s="65" t="s">
        <v>111</v>
      </c>
      <c r="F33" s="65">
        <f>B2/6</f>
        <v>0.6</v>
      </c>
      <c r="G33" s="66" t="s">
        <v>108</v>
      </c>
    </row>
    <row r="35" spans="1:7" ht="16.5" thickBot="1" x14ac:dyDescent="0.3"/>
    <row r="36" spans="1:7" x14ac:dyDescent="0.25">
      <c r="A36" s="126" t="s">
        <v>112</v>
      </c>
      <c r="B36" s="127"/>
      <c r="C36" s="127"/>
      <c r="D36" s="127"/>
      <c r="E36" s="127"/>
      <c r="F36" s="55"/>
      <c r="G36" s="56"/>
    </row>
    <row r="37" spans="1:7" ht="17.25" x14ac:dyDescent="0.25">
      <c r="A37" s="60"/>
      <c r="B37" s="61" t="s">
        <v>114</v>
      </c>
      <c r="C37" s="61">
        <f>2*F5/3</f>
        <v>0.23271056693257727</v>
      </c>
      <c r="D37" s="61" t="s">
        <v>32</v>
      </c>
      <c r="E37" s="61">
        <f>RADIANS(C37)</f>
        <v>4.0615655971561141E-3</v>
      </c>
      <c r="F37" s="61" t="s">
        <v>115</v>
      </c>
      <c r="G37" s="62"/>
    </row>
    <row r="38" spans="1:7" x14ac:dyDescent="0.25">
      <c r="A38" s="60"/>
      <c r="B38" s="61" t="s">
        <v>116</v>
      </c>
      <c r="C38" s="61">
        <f>2*F6/3</f>
        <v>25.533333333333331</v>
      </c>
      <c r="D38" s="61" t="s">
        <v>117</v>
      </c>
      <c r="E38" s="61"/>
      <c r="F38" s="61"/>
      <c r="G38" s="62"/>
    </row>
    <row r="39" spans="1:7" x14ac:dyDescent="0.25">
      <c r="A39" s="60"/>
      <c r="B39" s="61" t="s">
        <v>113</v>
      </c>
      <c r="C39" s="61">
        <f>C24*TAN(E37)+B2*C38</f>
        <v>93.437084905692004</v>
      </c>
      <c r="D39" s="61"/>
      <c r="E39" s="61"/>
      <c r="F39" s="61"/>
      <c r="G39" s="62"/>
    </row>
    <row r="40" spans="1:7" x14ac:dyDescent="0.25">
      <c r="A40" s="60"/>
      <c r="B40" s="61" t="s">
        <v>118</v>
      </c>
      <c r="C40" s="61">
        <f>J3</f>
        <v>122.56870894461531</v>
      </c>
      <c r="D40" s="61"/>
      <c r="E40" s="61"/>
      <c r="F40" s="61"/>
      <c r="G40" s="62"/>
    </row>
    <row r="41" spans="1:7" ht="16.5" thickBot="1" x14ac:dyDescent="0.3">
      <c r="A41" s="64"/>
      <c r="B41" s="65" t="s">
        <v>119</v>
      </c>
      <c r="C41" s="65">
        <f>C39/C40</f>
        <v>0.76232413403255384</v>
      </c>
      <c r="D41" s="65" t="s">
        <v>107</v>
      </c>
      <c r="E41" s="65">
        <v>1.5</v>
      </c>
      <c r="F41" s="65"/>
      <c r="G41" s="66"/>
    </row>
    <row r="42" spans="1:7" ht="16.5" thickBot="1" x14ac:dyDescent="0.3"/>
    <row r="43" spans="1:7" x14ac:dyDescent="0.25">
      <c r="A43" s="126" t="s">
        <v>140</v>
      </c>
      <c r="B43" s="127"/>
      <c r="C43" s="127"/>
      <c r="D43" s="127"/>
      <c r="E43" s="127"/>
      <c r="F43" s="55"/>
      <c r="G43" s="56"/>
    </row>
    <row r="44" spans="1:7" x14ac:dyDescent="0.25">
      <c r="A44" s="60"/>
      <c r="B44" s="61" t="s">
        <v>120</v>
      </c>
      <c r="C44" s="61">
        <f>(C24/B2)*(1+6*D33/B2)</f>
        <v>159.91164842503088</v>
      </c>
      <c r="D44" s="61" t="s">
        <v>117</v>
      </c>
      <c r="E44" s="61"/>
      <c r="F44" s="61"/>
      <c r="G44" s="62"/>
    </row>
    <row r="45" spans="1:7" x14ac:dyDescent="0.25">
      <c r="A45" s="60"/>
      <c r="B45" s="61" t="s">
        <v>121</v>
      </c>
      <c r="C45" s="61">
        <f>(C24/B2)*(1-6*D33/B2)</f>
        <v>47.599542257141103</v>
      </c>
      <c r="D45" s="61" t="s">
        <v>117</v>
      </c>
      <c r="E45" s="61"/>
      <c r="F45" s="61"/>
      <c r="G45" s="62"/>
    </row>
    <row r="46" spans="1:7" x14ac:dyDescent="0.25">
      <c r="A46" s="60"/>
      <c r="B46" s="61"/>
      <c r="C46" s="61"/>
      <c r="D46" s="61"/>
      <c r="E46" s="61"/>
      <c r="F46" s="61"/>
      <c r="G46" s="62"/>
    </row>
    <row r="47" spans="1:7" x14ac:dyDescent="0.25">
      <c r="A47" s="60"/>
      <c r="B47" s="61" t="s">
        <v>122</v>
      </c>
      <c r="C47" s="61">
        <v>14.83</v>
      </c>
      <c r="D47" s="61"/>
      <c r="E47" s="61"/>
      <c r="F47" s="61"/>
      <c r="G47" s="62"/>
    </row>
    <row r="48" spans="1:7" x14ac:dyDescent="0.25">
      <c r="A48" s="60"/>
      <c r="B48" s="61" t="s">
        <v>123</v>
      </c>
      <c r="C48" s="61">
        <v>6.4</v>
      </c>
      <c r="D48" s="61"/>
      <c r="E48" s="61"/>
      <c r="F48" s="61"/>
      <c r="G48" s="62"/>
    </row>
    <row r="49" spans="1:7" x14ac:dyDescent="0.25">
      <c r="A49" s="60"/>
      <c r="B49" s="61" t="s">
        <v>124</v>
      </c>
      <c r="C49" s="61">
        <v>5.39</v>
      </c>
      <c r="D49" s="61"/>
      <c r="E49" s="61"/>
      <c r="F49" s="61"/>
      <c r="G49" s="62"/>
    </row>
    <row r="50" spans="1:7" x14ac:dyDescent="0.25">
      <c r="A50" s="60"/>
      <c r="B50" s="61" t="s">
        <v>125</v>
      </c>
      <c r="C50" s="61">
        <f>F4*F9</f>
        <v>20.76</v>
      </c>
      <c r="D50" s="61" t="s">
        <v>117</v>
      </c>
      <c r="E50" s="61"/>
      <c r="F50" s="61"/>
      <c r="G50" s="62"/>
    </row>
    <row r="51" spans="1:7" x14ac:dyDescent="0.25">
      <c r="A51" s="60"/>
      <c r="B51" s="61" t="s">
        <v>127</v>
      </c>
      <c r="C51" s="61">
        <f>B2-2*D33</f>
        <v>2.9505192324403797</v>
      </c>
      <c r="D51" s="61" t="s">
        <v>58</v>
      </c>
      <c r="E51" s="61"/>
      <c r="F51" s="61"/>
      <c r="G51" s="62"/>
    </row>
    <row r="52" spans="1:7" x14ac:dyDescent="0.25">
      <c r="A52" s="60"/>
      <c r="B52" s="61"/>
      <c r="C52" s="61"/>
      <c r="D52" s="61"/>
      <c r="E52" s="61"/>
      <c r="F52" s="61"/>
      <c r="G52" s="62"/>
    </row>
    <row r="53" spans="1:7" x14ac:dyDescent="0.25">
      <c r="A53" s="60"/>
      <c r="B53" s="61" t="s">
        <v>128</v>
      </c>
      <c r="C53" s="61">
        <f>1+2*TAN(F5*(1-SIN(F5))^2)*F9/C51</f>
        <v>1.1238708954704364</v>
      </c>
      <c r="D53" s="61"/>
      <c r="E53" s="61"/>
      <c r="F53" s="61"/>
      <c r="G53" s="62"/>
    </row>
    <row r="54" spans="1:7" x14ac:dyDescent="0.25">
      <c r="A54" s="60"/>
      <c r="B54" s="61" t="s">
        <v>129</v>
      </c>
      <c r="C54" s="61">
        <f>C53-(1-C53)/(C47*TAN(F5))</f>
        <v>1.14681981578282</v>
      </c>
      <c r="D54" s="61"/>
      <c r="E54" s="61"/>
      <c r="F54" s="61"/>
      <c r="G54" s="62"/>
    </row>
    <row r="55" spans="1:7" x14ac:dyDescent="0.25">
      <c r="A55" s="60"/>
      <c r="B55" s="61" t="s">
        <v>130</v>
      </c>
      <c r="C55" s="61">
        <v>1</v>
      </c>
      <c r="D55" s="61"/>
      <c r="E55" s="61"/>
      <c r="F55" s="61"/>
      <c r="G55" s="62"/>
    </row>
    <row r="56" spans="1:7" x14ac:dyDescent="0.25">
      <c r="A56" s="60"/>
      <c r="B56" s="61"/>
      <c r="C56" s="61"/>
      <c r="D56" s="61"/>
      <c r="E56" s="61"/>
      <c r="F56" s="61"/>
      <c r="G56" s="62"/>
    </row>
    <row r="57" spans="1:7" x14ac:dyDescent="0.25">
      <c r="A57" s="60"/>
      <c r="B57" s="73" t="s">
        <v>131</v>
      </c>
      <c r="C57" s="61">
        <f>ATAN(J3/C24)</f>
        <v>0.31707366780229884</v>
      </c>
      <c r="D57" s="61" t="s">
        <v>32</v>
      </c>
      <c r="E57" s="61">
        <f>DEGREES(C57)</f>
        <v>18.166982959804823</v>
      </c>
      <c r="F57" s="61" t="s">
        <v>72</v>
      </c>
      <c r="G57" s="62"/>
    </row>
    <row r="58" spans="1:7" x14ac:dyDescent="0.25">
      <c r="A58" s="60"/>
      <c r="B58" s="61" t="s">
        <v>132</v>
      </c>
      <c r="C58" s="61" t="s">
        <v>32</v>
      </c>
      <c r="D58" s="61" t="s">
        <v>133</v>
      </c>
      <c r="E58" s="61">
        <f>(1-E57/90)^2</f>
        <v>0.63703485643172475</v>
      </c>
      <c r="F58" s="61"/>
      <c r="G58" s="62"/>
    </row>
    <row r="59" spans="1:7" x14ac:dyDescent="0.25">
      <c r="A59" s="60"/>
      <c r="B59" s="61" t="s">
        <v>134</v>
      </c>
      <c r="C59" s="61">
        <f>(1-C57/F5)^2</f>
        <v>8.3998786741147011E-3</v>
      </c>
      <c r="D59" s="61"/>
      <c r="E59" s="61"/>
      <c r="F59" s="61"/>
      <c r="G59" s="62"/>
    </row>
    <row r="60" spans="1:7" x14ac:dyDescent="0.25">
      <c r="A60" s="60"/>
      <c r="B60" s="61"/>
      <c r="C60" s="61" t="s">
        <v>136</v>
      </c>
      <c r="D60" s="61" t="s">
        <v>137</v>
      </c>
      <c r="E60" s="61" t="s">
        <v>138</v>
      </c>
      <c r="F60" s="61"/>
      <c r="G60" s="62"/>
    </row>
    <row r="61" spans="1:7" x14ac:dyDescent="0.25">
      <c r="A61" s="60"/>
      <c r="B61" s="61" t="s">
        <v>135</v>
      </c>
      <c r="C61" s="61">
        <f>F6*C47*C54*E58</f>
        <v>414.95242751958722</v>
      </c>
      <c r="D61" s="61">
        <f>C50*C48*C53*E58</f>
        <v>95.123307783227901</v>
      </c>
      <c r="E61" s="61">
        <f>0.5*F4*C51*C49*C55*C59</f>
        <v>1.1555169908254672</v>
      </c>
      <c r="F61" s="61" t="s">
        <v>32</v>
      </c>
      <c r="G61" s="62">
        <f>SUM(C61:E61)</f>
        <v>511.23125229364058</v>
      </c>
    </row>
    <row r="62" spans="1:7" x14ac:dyDescent="0.25">
      <c r="A62" s="60"/>
      <c r="B62" s="61"/>
      <c r="C62" s="61"/>
      <c r="D62" s="61"/>
      <c r="E62" s="61"/>
      <c r="F62" s="61"/>
      <c r="G62" s="62"/>
    </row>
    <row r="63" spans="1:7" ht="16.5" thickBot="1" x14ac:dyDescent="0.3">
      <c r="A63" s="64"/>
      <c r="B63" s="65" t="s">
        <v>139</v>
      </c>
      <c r="C63" s="65">
        <f>G61/C44</f>
        <v>3.1969606800302226</v>
      </c>
      <c r="D63" s="65" t="s">
        <v>107</v>
      </c>
      <c r="E63" s="65">
        <v>3</v>
      </c>
      <c r="F63" s="65" t="s">
        <v>108</v>
      </c>
      <c r="G63" s="66"/>
    </row>
    <row r="67" spans="1:4" x14ac:dyDescent="0.25">
      <c r="A67" s="74" t="s">
        <v>141</v>
      </c>
      <c r="B67" s="128" t="s">
        <v>142</v>
      </c>
      <c r="C67" s="128"/>
      <c r="D67" s="128"/>
    </row>
  </sheetData>
  <mergeCells count="7">
    <mergeCell ref="A43:E43"/>
    <mergeCell ref="B67:D67"/>
    <mergeCell ref="A15:E15"/>
    <mergeCell ref="A26:E26"/>
    <mergeCell ref="A29:E29"/>
    <mergeCell ref="A32:E32"/>
    <mergeCell ref="A36:E3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SimpleRetainingWallDesign</vt:lpstr>
      <vt:lpstr>RetainingWallOpt</vt:lpstr>
      <vt:lpstr>Suppl. RetainingWallCal.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2006-09-16T00:00:00Z</dcterms:created>
  <dcterms:modified xsi:type="dcterms:W3CDTF">2022-05-11T02:01:46Z</dcterms:modified>
</cp:coreProperties>
</file>